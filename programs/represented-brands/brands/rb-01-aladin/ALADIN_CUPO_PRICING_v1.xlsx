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4"/>
  <workbookPr/>
  <mc:AlternateContent xmlns:mc="http://schemas.openxmlformats.org/markup-compatibility/2006">
    <mc:Choice Requires="x15">
      <x15ac:absPath xmlns:x15ac="http://schemas.microsoft.com/office/spreadsheetml/2010/11/ac" url="C:\Users\Muaaz\projects\wings-global-trade\programs\represented-brands\brands\rb-01-aladin\"/>
    </mc:Choice>
  </mc:AlternateContent>
  <xr:revisionPtr revIDLastSave="0" documentId="8_{2A42523B-8B5B-426D-AF08-0B57ACFFEC7D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INDEX" sheetId="1" r:id="rId1"/>
    <sheet name="INPUTS" sheetId="2" r:id="rId2"/>
    <sheet name="HIGIENICO" sheetId="3" r:id="rId3"/>
    <sheet name="FACIAL" sheetId="4" r:id="rId4"/>
    <sheet name="MIXTO" sheetId="5" r:id="rId5"/>
    <sheet name="ESCALERA" sheetId="6" r:id="rId6"/>
    <sheet name="FLETE" sheetId="7" r:id="rId7"/>
    <sheet name="CONTENEDOR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D12" i="7"/>
  <c r="E12" i="7" s="1"/>
  <c r="F12" i="7" s="1"/>
  <c r="D11" i="7"/>
  <c r="E11" i="7" s="1"/>
  <c r="F11" i="7" s="1"/>
  <c r="B5" i="7"/>
  <c r="B4" i="7"/>
  <c r="C10" i="6"/>
  <c r="C9" i="6"/>
  <c r="C8" i="6"/>
  <c r="B3" i="6"/>
  <c r="D9" i="6" s="1"/>
  <c r="C21" i="5"/>
  <c r="B21" i="5"/>
  <c r="B25" i="5" s="1"/>
  <c r="B26" i="5" s="1"/>
  <c r="B19" i="5"/>
  <c r="C10" i="5"/>
  <c r="C7" i="5"/>
  <c r="C8" i="5" s="1"/>
  <c r="B31" i="4"/>
  <c r="G30" i="4"/>
  <c r="C30" i="4"/>
  <c r="B30" i="4"/>
  <c r="B29" i="4"/>
  <c r="B28" i="4"/>
  <c r="B27" i="4"/>
  <c r="B16" i="4"/>
  <c r="B15" i="4"/>
  <c r="B14" i="4"/>
  <c r="B10" i="4"/>
  <c r="A10" i="4"/>
  <c r="B9" i="4"/>
  <c r="B8" i="4"/>
  <c r="G7" i="4"/>
  <c r="B7" i="4"/>
  <c r="G6" i="4"/>
  <c r="B6" i="4"/>
  <c r="B5" i="4"/>
  <c r="B16" i="3"/>
  <c r="B15" i="3"/>
  <c r="B14" i="3"/>
  <c r="B10" i="3"/>
  <c r="B9" i="3"/>
  <c r="B8" i="3"/>
  <c r="G8" i="3" s="1"/>
  <c r="B7" i="3"/>
  <c r="B6" i="3"/>
  <c r="B5" i="3"/>
  <c r="C28" i="2"/>
  <c r="C24" i="2"/>
  <c r="C16" i="2"/>
  <c r="C15" i="2"/>
  <c r="C11" i="2"/>
  <c r="D10" i="6" l="1"/>
  <c r="E10" i="6" s="1"/>
  <c r="F10" i="6" s="1"/>
  <c r="B18" i="8"/>
  <c r="B19" i="8"/>
  <c r="B20" i="8"/>
  <c r="D15" i="7"/>
  <c r="E15" i="7" s="1"/>
  <c r="F15" i="7" s="1"/>
  <c r="D14" i="7"/>
  <c r="E14" i="7" s="1"/>
  <c r="F14" i="7" s="1"/>
  <c r="D13" i="7"/>
  <c r="E13" i="7" s="1"/>
  <c r="F13" i="7" s="1"/>
  <c r="D9" i="7"/>
  <c r="E9" i="7" s="1"/>
  <c r="F9" i="7" s="1"/>
  <c r="D16" i="7"/>
  <c r="E16" i="7" s="1"/>
  <c r="F16" i="7" s="1"/>
  <c r="D10" i="7"/>
  <c r="E10" i="7" s="1"/>
  <c r="F10" i="7" s="1"/>
  <c r="H10" i="6"/>
  <c r="I10" i="6" s="1"/>
  <c r="J10" i="6"/>
  <c r="K10" i="6" s="1"/>
  <c r="H9" i="6"/>
  <c r="I9" i="6" s="1"/>
  <c r="E9" i="6"/>
  <c r="F9" i="6" s="1"/>
  <c r="G9" i="6" s="1"/>
  <c r="J9" i="6"/>
  <c r="K9" i="6" s="1"/>
  <c r="D7" i="6"/>
  <c r="B4" i="6"/>
  <c r="D8" i="6"/>
  <c r="C27" i="5"/>
  <c r="C25" i="5"/>
  <c r="C26" i="5" s="1"/>
  <c r="B20" i="5"/>
  <c r="C11" i="5"/>
  <c r="G31" i="4"/>
  <c r="E31" i="4"/>
  <c r="F31" i="4" s="1"/>
  <c r="C31" i="4"/>
  <c r="J30" i="4"/>
  <c r="I30" i="4"/>
  <c r="H30" i="4"/>
  <c r="K30" i="4"/>
  <c r="L30" i="4" s="1"/>
  <c r="D30" i="4"/>
  <c r="G29" i="4"/>
  <c r="C29" i="4"/>
  <c r="E29" i="4"/>
  <c r="F29" i="4" s="1"/>
  <c r="G28" i="4"/>
  <c r="C28" i="4"/>
  <c r="E28" i="4"/>
  <c r="F28" i="4" s="1"/>
  <c r="E27" i="4"/>
  <c r="F27" i="4" s="1"/>
  <c r="C27" i="4"/>
  <c r="G27" i="4"/>
  <c r="G16" i="4"/>
  <c r="M16" i="4"/>
  <c r="C16" i="4"/>
  <c r="E16" i="4"/>
  <c r="F16" i="4" s="1"/>
  <c r="G15" i="4"/>
  <c r="M15" i="4"/>
  <c r="C15" i="4"/>
  <c r="E15" i="4"/>
  <c r="F15" i="4" s="1"/>
  <c r="G14" i="4"/>
  <c r="E14" i="4"/>
  <c r="F14" i="4" s="1"/>
  <c r="M14" i="4"/>
  <c r="C14" i="4"/>
  <c r="G10" i="4"/>
  <c r="E10" i="4"/>
  <c r="F10" i="4" s="1"/>
  <c r="C10" i="4"/>
  <c r="G9" i="4"/>
  <c r="E9" i="4"/>
  <c r="F9" i="4" s="1"/>
  <c r="C9" i="4"/>
  <c r="C8" i="4"/>
  <c r="G8" i="4"/>
  <c r="E8" i="4"/>
  <c r="F8" i="4" s="1"/>
  <c r="I7" i="4"/>
  <c r="J7" i="4"/>
  <c r="H7" i="4"/>
  <c r="C7" i="4"/>
  <c r="E7" i="4"/>
  <c r="F7" i="4" s="1"/>
  <c r="J6" i="4"/>
  <c r="H6" i="4"/>
  <c r="I6" i="4"/>
  <c r="E6" i="4"/>
  <c r="F6" i="4" s="1"/>
  <c r="C6" i="4"/>
  <c r="G5" i="4"/>
  <c r="E5" i="4"/>
  <c r="F5" i="4" s="1"/>
  <c r="C5" i="4"/>
  <c r="E16" i="3"/>
  <c r="F16" i="3" s="1"/>
  <c r="G16" i="3"/>
  <c r="M16" i="3"/>
  <c r="C16" i="3"/>
  <c r="G15" i="3"/>
  <c r="C15" i="3"/>
  <c r="E15" i="3"/>
  <c r="F15" i="3" s="1"/>
  <c r="M15" i="3"/>
  <c r="G14" i="3"/>
  <c r="M14" i="3"/>
  <c r="E14" i="3"/>
  <c r="F14" i="3" s="1"/>
  <c r="C14" i="3"/>
  <c r="E10" i="3"/>
  <c r="F10" i="3" s="1"/>
  <c r="A10" i="3"/>
  <c r="C10" i="3"/>
  <c r="G10" i="3"/>
  <c r="E9" i="3"/>
  <c r="F9" i="3" s="1"/>
  <c r="G9" i="3"/>
  <c r="C9" i="3"/>
  <c r="H8" i="3"/>
  <c r="J8" i="3"/>
  <c r="I8" i="3"/>
  <c r="C8" i="3"/>
  <c r="E8" i="3"/>
  <c r="F8" i="3" s="1"/>
  <c r="C7" i="3"/>
  <c r="E7" i="3"/>
  <c r="F7" i="3" s="1"/>
  <c r="G7" i="3"/>
  <c r="E6" i="3"/>
  <c r="F6" i="3" s="1"/>
  <c r="G6" i="3"/>
  <c r="C6" i="3"/>
  <c r="E5" i="3"/>
  <c r="F5" i="3" s="1"/>
  <c r="C5" i="3"/>
  <c r="G5" i="3"/>
  <c r="C20" i="4"/>
  <c r="E30" i="4"/>
  <c r="F30" i="4" s="1"/>
  <c r="B20" i="4"/>
  <c r="D20" i="4"/>
  <c r="E20" i="4"/>
  <c r="C20" i="3"/>
  <c r="E20" i="3"/>
  <c r="D20" i="3"/>
  <c r="B20" i="3"/>
  <c r="G10" i="6" l="1"/>
  <c r="B13" i="8"/>
  <c r="C13" i="8" s="1"/>
  <c r="D13" i="8" s="1"/>
  <c r="E7" i="6"/>
  <c r="H7" i="6"/>
  <c r="I7" i="6" s="1"/>
  <c r="J7" i="6"/>
  <c r="K7" i="6" s="1"/>
  <c r="B12" i="6"/>
  <c r="G9" i="7"/>
  <c r="G16" i="7"/>
  <c r="G10" i="7"/>
  <c r="G11" i="7"/>
  <c r="G12" i="7"/>
  <c r="G13" i="7"/>
  <c r="G14" i="7"/>
  <c r="G15" i="7"/>
  <c r="B4" i="8"/>
  <c r="B5" i="8" s="1"/>
  <c r="E8" i="6"/>
  <c r="F8" i="6" s="1"/>
  <c r="G8" i="6" s="1"/>
  <c r="H8" i="6"/>
  <c r="I8" i="6" s="1"/>
  <c r="J8" i="6"/>
  <c r="K8" i="6" s="1"/>
  <c r="B22" i="5"/>
  <c r="B23" i="5"/>
  <c r="C12" i="5"/>
  <c r="C13" i="5" s="1"/>
  <c r="C14" i="5"/>
  <c r="C15" i="5"/>
  <c r="C19" i="5"/>
  <c r="H31" i="4"/>
  <c r="I31" i="4"/>
  <c r="J31" i="4"/>
  <c r="D31" i="4"/>
  <c r="K31" i="4"/>
  <c r="L31" i="4" s="1"/>
  <c r="H29" i="4"/>
  <c r="I29" i="4"/>
  <c r="J29" i="4"/>
  <c r="D29" i="4"/>
  <c r="K29" i="4"/>
  <c r="L29" i="4" s="1"/>
  <c r="H28" i="4"/>
  <c r="I28" i="4"/>
  <c r="J28" i="4"/>
  <c r="D28" i="4"/>
  <c r="K28" i="4"/>
  <c r="L28" i="4" s="1"/>
  <c r="D27" i="4"/>
  <c r="K27" i="4"/>
  <c r="L27" i="4" s="1"/>
  <c r="H27" i="4"/>
  <c r="I27" i="4"/>
  <c r="J27" i="4"/>
  <c r="H16" i="4"/>
  <c r="I16" i="4"/>
  <c r="J16" i="4"/>
  <c r="D16" i="4"/>
  <c r="K16" i="4"/>
  <c r="L16" i="4" s="1"/>
  <c r="H15" i="4"/>
  <c r="I15" i="4"/>
  <c r="J15" i="4"/>
  <c r="D15" i="4"/>
  <c r="K15" i="4"/>
  <c r="L15" i="4" s="1"/>
  <c r="H14" i="4"/>
  <c r="I14" i="4"/>
  <c r="J14" i="4"/>
  <c r="D14" i="4"/>
  <c r="K14" i="4"/>
  <c r="L14" i="4" s="1"/>
  <c r="H10" i="4"/>
  <c r="I10" i="4"/>
  <c r="J10" i="4"/>
  <c r="D10" i="4"/>
  <c r="K10" i="4"/>
  <c r="L10" i="4" s="1"/>
  <c r="H9" i="4"/>
  <c r="I9" i="4"/>
  <c r="J9" i="4"/>
  <c r="D9" i="4"/>
  <c r="K9" i="4"/>
  <c r="L9" i="4" s="1"/>
  <c r="D8" i="4"/>
  <c r="K8" i="4"/>
  <c r="L8" i="4" s="1"/>
  <c r="I8" i="4"/>
  <c r="J8" i="4"/>
  <c r="H8" i="4"/>
  <c r="K7" i="4"/>
  <c r="L7" i="4" s="1"/>
  <c r="D7" i="4"/>
  <c r="D6" i="4"/>
  <c r="K6" i="4"/>
  <c r="L6" i="4" s="1"/>
  <c r="H5" i="4"/>
  <c r="I5" i="4"/>
  <c r="J5" i="4"/>
  <c r="D5" i="4"/>
  <c r="K5" i="4"/>
  <c r="L5" i="4" s="1"/>
  <c r="I16" i="3"/>
  <c r="J16" i="3"/>
  <c r="H16" i="3"/>
  <c r="K16" i="3"/>
  <c r="L16" i="3" s="1"/>
  <c r="D16" i="3"/>
  <c r="J15" i="3"/>
  <c r="H15" i="3"/>
  <c r="I15" i="3"/>
  <c r="D15" i="3"/>
  <c r="K15" i="3"/>
  <c r="L15" i="3" s="1"/>
  <c r="I14" i="3"/>
  <c r="H14" i="3"/>
  <c r="J14" i="3"/>
  <c r="K14" i="3"/>
  <c r="L14" i="3" s="1"/>
  <c r="D14" i="3"/>
  <c r="K10" i="3"/>
  <c r="L10" i="3" s="1"/>
  <c r="D10" i="3"/>
  <c r="J10" i="3"/>
  <c r="I10" i="3"/>
  <c r="H10" i="3"/>
  <c r="I9" i="3"/>
  <c r="J9" i="3"/>
  <c r="H9" i="3"/>
  <c r="K9" i="3"/>
  <c r="L9" i="3" s="1"/>
  <c r="D9" i="3"/>
  <c r="K8" i="3"/>
  <c r="L8" i="3" s="1"/>
  <c r="D8" i="3"/>
  <c r="D7" i="3"/>
  <c r="K7" i="3"/>
  <c r="L7" i="3" s="1"/>
  <c r="J7" i="3"/>
  <c r="H7" i="3"/>
  <c r="I7" i="3"/>
  <c r="H6" i="3"/>
  <c r="I6" i="3"/>
  <c r="J6" i="3"/>
  <c r="D6" i="3"/>
  <c r="K6" i="3"/>
  <c r="L6" i="3" s="1"/>
  <c r="D5" i="3"/>
  <c r="K5" i="3"/>
  <c r="L5" i="3" s="1"/>
  <c r="J5" i="3"/>
  <c r="H5" i="3"/>
  <c r="I5" i="3"/>
  <c r="F7" i="6" l="1"/>
  <c r="G7" i="6" s="1"/>
  <c r="B12" i="8"/>
  <c r="C12" i="8" s="1"/>
  <c r="D12" i="8" s="1"/>
  <c r="B11" i="8"/>
  <c r="B6" i="8"/>
  <c r="B7" i="8"/>
  <c r="B24" i="5"/>
  <c r="D19" i="5"/>
  <c r="C20" i="5"/>
  <c r="C20" i="8" l="1"/>
  <c r="D20" i="8" s="1"/>
  <c r="C18" i="8"/>
  <c r="D18" i="8" s="1"/>
  <c r="C11" i="8"/>
  <c r="D11" i="8" s="1"/>
  <c r="C19" i="8"/>
  <c r="D19" i="8" s="1"/>
  <c r="D20" i="5"/>
  <c r="C22" i="5"/>
  <c r="C23" i="5"/>
  <c r="D23" i="5" s="1"/>
  <c r="C31" i="5" s="1"/>
  <c r="D22" i="5" l="1"/>
  <c r="C30" i="5" s="1"/>
  <c r="C32" i="5" s="1"/>
  <c r="C24" i="5"/>
  <c r="D24" i="5" s="1"/>
  <c r="C34" i="5" l="1"/>
  <c r="C33" i="5"/>
</calcChain>
</file>

<file path=xl/sharedStrings.xml><?xml version="1.0" encoding="utf-8"?>
<sst xmlns="http://schemas.openxmlformats.org/spreadsheetml/2006/main" count="249" uniqueCount="176">
  <si>
    <t>RB/01 ÁLADÍN — MODELO DE PRECIOS POR CUPO · v1</t>
  </si>
  <si>
    <t>2026-07-16 · Fuente de decisión para las compuertas §12 de GTM-CAMPAIGN.md</t>
  </si>
  <si>
    <t>CÓMO USAR</t>
  </si>
  <si>
    <t>Edita solo las celdas amarillas (hoja INPUTS y tarifas en FLETE). Todo lo demás son fórmulas.</t>
  </si>
  <si>
    <t>DECISIONES QUE SALEN DE ESTE LIBRO</t>
  </si>
  <si>
    <t>1 · Markup base Wings</t>
  </si>
  <si>
    <t>INPUTS C33 — define el precio de cupo publicado (compuerta G3 del programa).</t>
  </si>
  <si>
    <t>2 · Escalera [A]/[B]/desc. contenedor/[C]</t>
  </si>
  <si>
    <t>INPUTS C34–C37 — ratificar tras ver márgenes en hoja ESCALERA.</t>
  </si>
  <si>
    <t>3 · EXW Tacna vs entregado</t>
  </si>
  <si>
    <t>Hoja FLETE — el flete por pack es 1.5–5% del precio público.</t>
  </si>
  <si>
    <t>4 · Template facial</t>
  </si>
  <si>
    <t>Cajas/cupo 118 es BORRADOR no ratificado. Con retail S/25 el margen del comprador es ajustado; el escenario retail S/35 (segundo grid en FACIAL) lo convierte en producto estrella.</t>
  </si>
  <si>
    <t>5 · Contenedor mixto</t>
  </si>
  <si>
    <t>Hoja MIXTO — higiénico + facial en el mismo cupo; resuelve la rotación del facial. Composición se ajusta con «cajas higiénico por cupo».</t>
  </si>
  <si>
    <t>RECOMENDACIÓN PRELIMINAR (a validar con estos números)</t>
  </si>
  <si>
    <t>· Precio publicado:</t>
  </si>
  <si>
    <t>EXW Tacna, un solo número por cupo. El mayorista de provincia tiene su transportista; empaquetar flete nos obliga a tarificar el peor caso.</t>
  </si>
  <si>
    <t>· Cadenas (S1):</t>
  </si>
  <si>
    <t>cotizar ENTREGADO a su CD — las cadenas no compran EXW. Dos segmentos, dos incoterms internos.</t>
  </si>
  <si>
    <t>· Punto de partida markup:</t>
  </si>
  <si>
    <t>40% — el comprador conserva ~25% sobre venta en higiénico; argumento de venta claro y defendible.</t>
  </si>
  <si>
    <t>PREGUNTAS ABIERTAS (no las resuelve este libro)</t>
  </si>
  <si>
    <t>· Fiscal ZOFRATACNA/IGV:</t>
  </si>
  <si>
    <t>investigado 2026-07-16 — ver ZOFRATACNA.md en esta carpeta: la salida al resto del país es una importación (ad valorem + IGV/IPM 18% + percepción); dos estructuras posibles (Áladín nacionaliza vs comprador nacionaliza). Confirmar base del costo S/16 con agencia de aduana.</t>
  </si>
  <si>
    <t>· Ruta/hub:</t>
  </si>
  <si>
    <t>el contenedor seed dice Qingdao→Callao; el almacén principal es Tacna. Confirmar ruta real antes de fijar copy del instrumento.</t>
  </si>
  <si>
    <t>· Tarifas de flete:</t>
  </si>
  <si>
    <t>las de la hoja FLETE son PLACEHOLDERS — reemplazar con cotizaciones de transportista antes de publicar estimados.</t>
  </si>
  <si>
    <t>DRIVERS — todas las celdas amarillas son editables</t>
  </si>
  <si>
    <t>GENERAL</t>
  </si>
  <si>
    <t>Tipo de cambio (S/ por USD)</t>
  </si>
  <si>
    <t>IGV referencial</t>
  </si>
  <si>
    <t>PAPEL HIGIÉNICO — pack ×10 rollos</t>
  </si>
  <si>
    <t>Costo por pack, almacén Tacna (S/)</t>
  </si>
  <si>
    <t>Precio público objetivo por pack (S/)</t>
  </si>
  <si>
    <t>Spread total por pack (S/)</t>
  </si>
  <si>
    <t>Packs por caja máster</t>
  </si>
  <si>
    <t>Cajas por cupo</t>
  </si>
  <si>
    <t>Cupos por contenedor (40HC)</t>
  </si>
  <si>
    <t>Packs por cupo</t>
  </si>
  <si>
    <t>Cajas comerciales por contenedor</t>
  </si>
  <si>
    <t>Cajas de holgura (stock propio)</t>
  </si>
  <si>
    <t>m³ por caja</t>
  </si>
  <si>
    <t>kg por caja</t>
  </si>
  <si>
    <t>Costo por pack ×5, almacén Tacna (S/)</t>
  </si>
  <si>
    <t>Precio público objetivo por pack ×5 (S/)</t>
  </si>
  <si>
    <t>Packs (×5) por caja máster</t>
  </si>
  <si>
    <t>Cupos por contenedor</t>
  </si>
  <si>
    <t>Precio público facial — escenario alto (S/)</t>
  </si>
  <si>
    <t>ESCALERA (GTM §2.2) — drivers de decisión</t>
  </si>
  <si>
    <t>Escenario base — markup Wings sobre costo</t>
  </si>
  <si>
    <t>el dial principal: define el precio publicado</t>
  </si>
  <si>
    <t>[A] Descuento CUPO×3 (2–3 cupos)</t>
  </si>
  <si>
    <t>[B] Descuento MEDIO (5 cupos)</t>
  </si>
  <si>
    <t>Descuento CONTENEDOR (10 cupos)</t>
  </si>
  <si>
    <t>[C] Crédito padrino (s/ 1 cupo, ciclo siguiente)</t>
  </si>
  <si>
    <t>NOTA FISCAL (investigado 2026-07-16, ver ZOFRATACNA.md): la salida de mercancía NO producida en zona</t>
  </si>
  <si>
    <t>hacia el resto del país es una importación: ad valorem (banda probable 6%; TLC China puede dar 0% con</t>
  </si>
  <si>
    <t>certificado de origen) + IGV+IPM 18% + percepción. Confirmar con agencia de aduana la base del costo S/16.</t>
  </si>
  <si>
    <t>NOTA DE DATOS: costos vigentes declarados por Muaaz 2026-07-16; sustituyen el costeo SPSA 2020 (muerto).</t>
  </si>
  <si>
    <t>PAPEL HIGIÉNICO — escenarios de precio de cupo</t>
  </si>
  <si>
    <t>Costo y precio público en INPUTS ($C$9 / $C$10); cambiarlos allí recalcula todo.</t>
  </si>
  <si>
    <t>Markup s/ costo</t>
  </si>
  <si>
    <t>Precio S/ /pack</t>
  </si>
  <si>
    <t>Margen Wings S/ /pack</t>
  </si>
  <si>
    <t>Margen Wings % s/ precio</t>
  </si>
  <si>
    <t>Precio por cupo (S/)</t>
  </si>
  <si>
    <t>Precio por cupo (USD)</t>
  </si>
  <si>
    <t>Margen comprador S/ /pack</t>
  </si>
  <si>
    <t>Margen comprador % s/ venta</t>
  </si>
  <si>
    <t>Markup comprador s/ su costo</t>
  </si>
  <si>
    <t>Ganancia comprador por cupo (S/)</t>
  </si>
  <si>
    <t>Margen Wings por cupo (S/)</t>
  </si>
  <si>
    <t>Margen Wings por contenedor (S/)</t>
  </si>
  <si>
    <t>← reparto igual del spread</t>
  </si>
  <si>
    <t>Convención alternativa: margen sobre PRECIO DE VENTA (precio = costo ÷ (1−margen))</t>
  </si>
  <si>
    <t>Margen s/ precio</t>
  </si>
  <si>
    <t>Rotación del comprador — semanas para vender 1 cupo</t>
  </si>
  <si>
    <t>Packs vendidos / semana</t>
  </si>
  <si>
    <t>Semanas para rotar el cupo</t>
  </si>
  <si>
    <t>PAPEL FACIAL — escenarios de precio de cupo (template BORRADOR)</t>
  </si>
  <si>
    <t>Costo y precio público en INPUTS ($C$22 / $C$23); cambiarlos allí recalcula todo.</t>
  </si>
  <si>
    <t>⚠ Cajas/cupo = 118 no ratificado. Margen del comprador más ajustado que higiénico — ver columnas H–I.</t>
  </si>
  <si>
    <t>ESCENARIO RETAIL ALTO — precio público S/ 35 (INPUTS C31)</t>
  </si>
  <si>
    <t>Mismo costo S/14; solo cambia el precio de venta del comprador — su margen es la columna que se mueve.</t>
  </si>
  <si>
    <t>← a S/35 retail el facial pasa de producto ajustado a producto estrella del comprador</t>
  </si>
  <si>
    <t>CONTENEDOR MIXTO 40HC — higiénico + facial en un mismo cupo</t>
  </si>
  <si>
    <t>⚠ PROPUESTA — template no ratificado. La math del servidor (SPEC §3.2) manda; el factor de estiba mixta es supuesto hasta tener plan de carga real.</t>
  </si>
  <si>
    <t>GEOMETRÍA</t>
  </si>
  <si>
    <t>Volumen interior 40HC (m³)</t>
  </si>
  <si>
    <t>Factor de utilización — estiba mixta</t>
  </si>
  <si>
    <t>grids puros lograron 96,1% (hig.) / 91,7% (facial)</t>
  </si>
  <si>
    <t>m³ útiles del contenedor</t>
  </si>
  <si>
    <t>m³ útiles por cupo (÷ cupos)</t>
  </si>
  <si>
    <t>Cajas higiénico por cupo</t>
  </si>
  <si>
    <t>el dial de composición</t>
  </si>
  <si>
    <t>m³ higiénico por cupo</t>
  </si>
  <si>
    <t>Cajas facial por cupo (calculado)</t>
  </si>
  <si>
    <t>m³ usados por cupo</t>
  </si>
  <si>
    <t>Holgura m³ por cupo</t>
  </si>
  <si>
    <t>kg por cupo</t>
  </si>
  <si>
    <t>Composición del contenedor</t>
  </si>
  <si>
    <t>EL CUPO MIXTO — escenario base (markup INPUTS C33)</t>
  </si>
  <si>
    <t>Concepto</t>
  </si>
  <si>
    <t>Higiénico</t>
  </si>
  <si>
    <t>Facial</t>
  </si>
  <si>
    <t>Total cupo</t>
  </si>
  <si>
    <t>Valor por cupo (S/)</t>
  </si>
  <si>
    <t>Costo por cupo (S/)</t>
  </si>
  <si>
    <t>Margen comprador % s/ venta (retail base)</t>
  </si>
  <si>
    <t>Margen comprador facial % (retail S/35)</t>
  </si>
  <si>
    <t>P&amp;L CONTENEDOR MIXTO</t>
  </si>
  <si>
    <t>Ingreso 10 cupos (S/)</t>
  </si>
  <si>
    <t>Costo 10 cupos (S/)</t>
  </si>
  <si>
    <t>Margen bruto (S/)</t>
  </si>
  <si>
    <t>Margen bruto % s/ ingreso</t>
  </si>
  <si>
    <t>Margen bruto (USD)</t>
  </si>
  <si>
    <t>Por qué existe esta hoja: el cupo mixto resuelve la rotación del facial —</t>
  </si>
  <si>
    <t>~288 packs de facial por cupo (vs 1.062 en cupo puro) y le da al comprador surtido de góndola completo.</t>
  </si>
  <si>
    <t>ESCALERA DE BENEFICIOS — higiénico, escenario base (INPUTS C33)</t>
  </si>
  <si>
    <t>Precio base S/ /pack</t>
  </si>
  <si>
    <t>Precio base por cupo</t>
  </si>
  <si>
    <t>Tier</t>
  </si>
  <si>
    <t>Cupos</t>
  </si>
  <si>
    <t>Descuento</t>
  </si>
  <si>
    <t>S/ /pack efectivo</t>
  </si>
  <si>
    <t>Total pedido (S/)</t>
  </si>
  <si>
    <t>Total pedido (USD)</t>
  </si>
  <si>
    <t>Margen Wings % s/ costo</t>
  </si>
  <si>
    <t>CUPO</t>
  </si>
  <si>
    <t>0</t>
  </si>
  <si>
    <t>CUPO×3</t>
  </si>
  <si>
    <t>MEDIO</t>
  </si>
  <si>
    <t>CONTENEDOR</t>
  </si>
  <si>
    <t>Crédito padrino por referido CONFIRMADO (se aplica al ciclo siguiente)</t>
  </si>
  <si>
    <t>Los mismos % de escalera aplican a facial cuando su template se ratifique.</t>
  </si>
  <si>
    <t>FLETE TACNA → DESTINO · por cupo de higiénico</t>
  </si>
  <si>
    <t>⚠ Tarifas S/ /m³ son PLACEHOLDERS EDITABLES — reemplazar con cotizaciones reales de transportista.</t>
  </si>
  <si>
    <t>m³ por cupo</t>
  </si>
  <si>
    <t>El papel cubica antes de pesar → la tarifa por m³ manda, no el kg.</t>
  </si>
  <si>
    <t>Ciudad</t>
  </si>
  <si>
    <t>km aprox</t>
  </si>
  <si>
    <t>Tarifa S/ /m³ (EDITABLE)</t>
  </si>
  <si>
    <t>Flete por cupo (S/)</t>
  </si>
  <si>
    <t>Flete por pack (S/)</t>
  </si>
  <si>
    <t>% del precio público</t>
  </si>
  <si>
    <t>Cupo entregado (S/)</t>
  </si>
  <si>
    <t>Moquegua</t>
  </si>
  <si>
    <t>Arequipa</t>
  </si>
  <si>
    <t>Puno</t>
  </si>
  <si>
    <t>Juliaca</t>
  </si>
  <si>
    <t>Cusco</t>
  </si>
  <si>
    <t>Lima</t>
  </si>
  <si>
    <t>Trujillo</t>
  </si>
  <si>
    <t>Piura</t>
  </si>
  <si>
    <t>Lectura: el flete por pack queda en céntimos → no justifica empaquetarlo en el precio del cupo.</t>
  </si>
  <si>
    <t>Recomendación S2 (mayoristas): precio EXW Tacna único + estimador de entrega transparente.</t>
  </si>
  <si>
    <t>Recomendación S1 (cadenas): cotizar entregado a su CD — las cadenas no compran EXW.</t>
  </si>
  <si>
    <t>P&amp;L POR CONTENEDOR — higiénico 40HC, escenario base (INPUTS C33)</t>
  </si>
  <si>
    <t>Costo total (945 cajas incl. holgura)</t>
  </si>
  <si>
    <t>Ingreso 10 cupos sin descuento</t>
  </si>
  <si>
    <t>ESCENARIOS DE MEZCLA DE TIERS</t>
  </si>
  <si>
    <t>Mezcla</t>
  </si>
  <si>
    <t>Ingreso (S/)</t>
  </si>
  <si>
    <t>% s/ ingreso</t>
  </si>
  <si>
    <t>10 × CUPO (sin descuento)</t>
  </si>
  <si>
    <t>2×CUPO + 3×CUPO×3 + 5×MEDIO</t>
  </si>
  <si>
    <t>1 × CONTENEDOR dedicado</t>
  </si>
  <si>
    <t>SENSIBILIDAD AL COSTO (precio publicado fijo, ingreso = mezcla 10×CUPO)</t>
  </si>
  <si>
    <t>Costo</t>
  </si>
  <si>
    <t>Costo total (S/)</t>
  </si>
  <si>
    <t>−10%</t>
  </si>
  <si>
    <t>base</t>
  </si>
  <si>
    <t>+10%</t>
  </si>
  <si>
    <t xml:space="preserve">PAPEL FACIAL — pack ×5 empaques (390 hojas)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</si>
</sst>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&quot;S/&quot;\ #,##0.00"/>
    <numFmt numFmtId="166" formatCode="0.0000"/>
    <numFmt numFmtId="167" formatCode="&quot;S/&quot;\ #,##0"/>
    <numFmt numFmtId="168" formatCode="&quot;US$&quot;\ #,##0"/>
    <numFmt numFmtId="169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4C7012"/>
      <name val="Calibri"/>
    </font>
    <font>
      <i/>
      <sz val="9"/>
      <color rgb="FF666666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9"/>
      <color rgb="FFA61B3A"/>
      <name val="Calibri"/>
    </font>
    <font>
      <b/>
      <sz val="11"/>
      <name val="Calibri"/>
    </font>
    <font>
      <sz val="9"/>
      <name val="Calibri"/>
    </font>
    <font>
      <b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C7012"/>
      </patternFill>
    </fill>
    <fill>
      <patternFill patternType="solid">
        <fgColor rgb="FFFFF3B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0" borderId="1" xfId="0" applyNumberFormat="1" applyBorder="1"/>
    <xf numFmtId="3" fontId="0" fillId="3" borderId="1" xfId="0" applyNumberFormat="1" applyFill="1" applyBorder="1"/>
    <xf numFmtId="3" fontId="0" fillId="0" borderId="1" xfId="0" applyNumberFormat="1" applyBorder="1"/>
    <xf numFmtId="166" fontId="0" fillId="3" borderId="1" xfId="0" applyNumberFormat="1" applyFill="1" applyBorder="1"/>
    <xf numFmtId="0" fontId="6" fillId="0" borderId="0" xfId="0" applyFont="1"/>
    <xf numFmtId="0" fontId="4" fillId="4" borderId="1" xfId="0" applyFont="1" applyFill="1" applyBorder="1" applyAlignment="1">
      <alignment vertical="center" wrapText="1"/>
    </xf>
    <xf numFmtId="16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/>
    <xf numFmtId="0" fontId="4" fillId="4" borderId="1" xfId="0" applyFont="1" applyFill="1" applyBorder="1"/>
    <xf numFmtId="165" fontId="0" fillId="0" borderId="0" xfId="0" applyNumberFormat="1"/>
    <xf numFmtId="167" fontId="0" fillId="0" borderId="0" xfId="0" applyNumberFormat="1"/>
    <xf numFmtId="0" fontId="7" fillId="0" borderId="1" xfId="0" applyFont="1" applyBorder="1"/>
    <xf numFmtId="0" fontId="0" fillId="0" borderId="1" xfId="0" applyBorder="1"/>
    <xf numFmtId="2" fontId="0" fillId="0" borderId="0" xfId="0" applyNumberFormat="1"/>
    <xf numFmtId="3" fontId="0" fillId="0" borderId="0" xfId="0" applyNumberFormat="1"/>
    <xf numFmtId="167" fontId="0" fillId="3" borderId="1" xfId="0" applyNumberFormat="1" applyFill="1" applyBorder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8671875" defaultRowHeight="14.4" x14ac:dyDescent="0.3"/>
  <cols>
    <col min="1" max="1" width="38" customWidth="1"/>
    <col min="2" max="2" width="95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3" spans="1:2" x14ac:dyDescent="0.3">
      <c r="A3" s="3"/>
      <c r="B3" s="4"/>
    </row>
    <row r="4" spans="1:2" x14ac:dyDescent="0.3">
      <c r="A4" s="5" t="s">
        <v>2</v>
      </c>
      <c r="B4" s="4" t="s">
        <v>3</v>
      </c>
    </row>
    <row r="5" spans="1:2" x14ac:dyDescent="0.3">
      <c r="A5" s="3"/>
      <c r="B5" s="4"/>
    </row>
    <row r="6" spans="1:2" x14ac:dyDescent="0.3">
      <c r="A6" s="5" t="s">
        <v>4</v>
      </c>
      <c r="B6" s="4"/>
    </row>
    <row r="7" spans="1:2" x14ac:dyDescent="0.3">
      <c r="A7" s="5" t="s">
        <v>5</v>
      </c>
      <c r="B7" s="4" t="s">
        <v>6</v>
      </c>
    </row>
    <row r="8" spans="1:2" x14ac:dyDescent="0.3">
      <c r="A8" s="5" t="s">
        <v>7</v>
      </c>
      <c r="B8" s="4" t="s">
        <v>8</v>
      </c>
    </row>
    <row r="9" spans="1:2" x14ac:dyDescent="0.3">
      <c r="A9" s="5" t="s">
        <v>9</v>
      </c>
      <c r="B9" s="4" t="s">
        <v>10</v>
      </c>
    </row>
    <row r="10" spans="1:2" ht="28.8" x14ac:dyDescent="0.3">
      <c r="A10" s="5" t="s">
        <v>11</v>
      </c>
      <c r="B10" s="4" t="s">
        <v>12</v>
      </c>
    </row>
    <row r="11" spans="1:2" ht="28.8" x14ac:dyDescent="0.3">
      <c r="A11" s="5" t="s">
        <v>13</v>
      </c>
      <c r="B11" s="4" t="s">
        <v>14</v>
      </c>
    </row>
    <row r="12" spans="1:2" x14ac:dyDescent="0.3">
      <c r="A12" s="3"/>
      <c r="B12" s="4"/>
    </row>
    <row r="13" spans="1:2" x14ac:dyDescent="0.3">
      <c r="A13" s="5" t="s">
        <v>15</v>
      </c>
      <c r="B13" s="4"/>
    </row>
    <row r="14" spans="1:2" ht="28.8" x14ac:dyDescent="0.3">
      <c r="A14" s="3" t="s">
        <v>16</v>
      </c>
      <c r="B14" s="4" t="s">
        <v>17</v>
      </c>
    </row>
    <row r="15" spans="1:2" x14ac:dyDescent="0.3">
      <c r="A15" s="3" t="s">
        <v>18</v>
      </c>
      <c r="B15" s="4" t="s">
        <v>19</v>
      </c>
    </row>
    <row r="16" spans="1:2" x14ac:dyDescent="0.3">
      <c r="A16" s="3" t="s">
        <v>20</v>
      </c>
      <c r="B16" s="4" t="s">
        <v>21</v>
      </c>
    </row>
    <row r="17" spans="1:2" x14ac:dyDescent="0.3">
      <c r="A17" s="3"/>
      <c r="B17" s="4"/>
    </row>
    <row r="18" spans="1:2" x14ac:dyDescent="0.3">
      <c r="A18" s="5" t="s">
        <v>22</v>
      </c>
      <c r="B18" s="4"/>
    </row>
    <row r="19" spans="1:2" ht="43.2" x14ac:dyDescent="0.3">
      <c r="A19" s="3" t="s">
        <v>23</v>
      </c>
      <c r="B19" s="4" t="s">
        <v>24</v>
      </c>
    </row>
    <row r="20" spans="1:2" ht="28.8" x14ac:dyDescent="0.3">
      <c r="A20" s="3" t="s">
        <v>25</v>
      </c>
      <c r="B20" s="4" t="s">
        <v>26</v>
      </c>
    </row>
    <row r="21" spans="1:2" ht="28.8" x14ac:dyDescent="0.3">
      <c r="A21" s="3" t="s">
        <v>27</v>
      </c>
      <c r="B21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6" workbookViewId="0">
      <selection activeCell="D22" sqref="D22"/>
    </sheetView>
  </sheetViews>
  <sheetFormatPr baseColWidth="10" defaultColWidth="8.88671875" defaultRowHeight="14.4" x14ac:dyDescent="0.3"/>
  <cols>
    <col min="1" max="1" width="44" customWidth="1"/>
    <col min="2" max="2" width="4" customWidth="1"/>
    <col min="3" max="3" width="14" customWidth="1"/>
    <col min="4" max="4" width="52" customWidth="1"/>
  </cols>
  <sheetData>
    <row r="1" spans="1:4" ht="18" x14ac:dyDescent="0.35">
      <c r="A1" s="1" t="s">
        <v>29</v>
      </c>
    </row>
    <row r="4" spans="1:4" x14ac:dyDescent="0.3">
      <c r="A4" s="6" t="s">
        <v>30</v>
      </c>
      <c r="B4" s="7"/>
      <c r="C4" s="7"/>
      <c r="D4" s="7"/>
    </row>
    <row r="5" spans="1:4" x14ac:dyDescent="0.3">
      <c r="A5" t="s">
        <v>31</v>
      </c>
      <c r="C5" s="8">
        <v>3.75</v>
      </c>
    </row>
    <row r="6" spans="1:4" x14ac:dyDescent="0.3">
      <c r="A6" t="s">
        <v>32</v>
      </c>
      <c r="C6" s="9">
        <v>0.18</v>
      </c>
      <c r="D6" s="2"/>
    </row>
    <row r="8" spans="1:4" x14ac:dyDescent="0.3">
      <c r="A8" s="6" t="s">
        <v>33</v>
      </c>
      <c r="B8" s="7"/>
      <c r="C8" s="7"/>
      <c r="D8" s="7"/>
    </row>
    <row r="9" spans="1:4" x14ac:dyDescent="0.3">
      <c r="A9" t="s">
        <v>34</v>
      </c>
      <c r="C9" s="10">
        <v>16</v>
      </c>
      <c r="D9" s="2"/>
    </row>
    <row r="10" spans="1:4" x14ac:dyDescent="0.3">
      <c r="A10" t="s">
        <v>35</v>
      </c>
      <c r="C10" s="10">
        <v>30</v>
      </c>
    </row>
    <row r="11" spans="1:4" x14ac:dyDescent="0.3">
      <c r="A11" t="s">
        <v>36</v>
      </c>
      <c r="C11" s="11">
        <f>C10-C9</f>
        <v>14</v>
      </c>
      <c r="D11" s="2"/>
    </row>
    <row r="12" spans="1:4" x14ac:dyDescent="0.3">
      <c r="A12" t="s">
        <v>37</v>
      </c>
      <c r="C12" s="12">
        <v>6</v>
      </c>
    </row>
    <row r="13" spans="1:4" x14ac:dyDescent="0.3">
      <c r="A13" t="s">
        <v>38</v>
      </c>
      <c r="C13" s="12">
        <v>94</v>
      </c>
      <c r="D13" s="2"/>
    </row>
    <row r="14" spans="1:4" x14ac:dyDescent="0.3">
      <c r="A14" t="s">
        <v>39</v>
      </c>
      <c r="C14" s="12">
        <v>10</v>
      </c>
    </row>
    <row r="15" spans="1:4" x14ac:dyDescent="0.3">
      <c r="A15" t="s">
        <v>40</v>
      </c>
      <c r="C15" s="13">
        <f>C12*C13</f>
        <v>564</v>
      </c>
    </row>
    <row r="16" spans="1:4" x14ac:dyDescent="0.3">
      <c r="A16" t="s">
        <v>41</v>
      </c>
      <c r="C16" s="13">
        <f>C13*C14</f>
        <v>940</v>
      </c>
    </row>
    <row r="17" spans="1:4" x14ac:dyDescent="0.3">
      <c r="A17" t="s">
        <v>42</v>
      </c>
      <c r="C17" s="12">
        <v>5</v>
      </c>
    </row>
    <row r="18" spans="1:4" x14ac:dyDescent="0.3">
      <c r="A18" t="s">
        <v>43</v>
      </c>
      <c r="C18" s="14">
        <v>7.7700000000000005E-2</v>
      </c>
      <c r="D18" s="2"/>
    </row>
    <row r="19" spans="1:4" x14ac:dyDescent="0.3">
      <c r="A19" t="s">
        <v>44</v>
      </c>
      <c r="C19" s="8">
        <v>9.6999999999999993</v>
      </c>
    </row>
    <row r="21" spans="1:4" x14ac:dyDescent="0.3">
      <c r="A21" s="6" t="s">
        <v>175</v>
      </c>
      <c r="B21" s="7"/>
      <c r="C21" s="7"/>
      <c r="D21" s="7"/>
    </row>
    <row r="22" spans="1:4" x14ac:dyDescent="0.3">
      <c r="A22" t="s">
        <v>45</v>
      </c>
      <c r="C22" s="10">
        <v>14</v>
      </c>
      <c r="D22" s="2"/>
    </row>
    <row r="23" spans="1:4" x14ac:dyDescent="0.3">
      <c r="A23" t="s">
        <v>46</v>
      </c>
      <c r="C23" s="10">
        <v>25</v>
      </c>
      <c r="D23" s="2"/>
    </row>
    <row r="24" spans="1:4" x14ac:dyDescent="0.3">
      <c r="A24" t="s">
        <v>36</v>
      </c>
      <c r="C24" s="11">
        <f>C23-C22</f>
        <v>11</v>
      </c>
    </row>
    <row r="25" spans="1:4" x14ac:dyDescent="0.3">
      <c r="A25" t="s">
        <v>47</v>
      </c>
      <c r="C25" s="12">
        <v>9</v>
      </c>
    </row>
    <row r="26" spans="1:4" x14ac:dyDescent="0.3">
      <c r="A26" t="s">
        <v>38</v>
      </c>
      <c r="C26" s="12">
        <v>118</v>
      </c>
      <c r="D26" s="2"/>
    </row>
    <row r="27" spans="1:4" x14ac:dyDescent="0.3">
      <c r="A27" t="s">
        <v>48</v>
      </c>
      <c r="C27" s="12">
        <v>10</v>
      </c>
    </row>
    <row r="28" spans="1:4" x14ac:dyDescent="0.3">
      <c r="A28" t="s">
        <v>40</v>
      </c>
      <c r="C28" s="13">
        <f>C25*C26</f>
        <v>1062</v>
      </c>
    </row>
    <row r="29" spans="1:4" x14ac:dyDescent="0.3">
      <c r="A29" t="s">
        <v>43</v>
      </c>
      <c r="C29" s="14">
        <v>5.8999999999999997E-2</v>
      </c>
    </row>
    <row r="30" spans="1:4" x14ac:dyDescent="0.3">
      <c r="A30" t="s">
        <v>44</v>
      </c>
      <c r="C30" s="8">
        <v>9.6999999999999993</v>
      </c>
    </row>
    <row r="31" spans="1:4" x14ac:dyDescent="0.3">
      <c r="A31" t="s">
        <v>49</v>
      </c>
      <c r="C31" s="10">
        <v>35</v>
      </c>
      <c r="D31" s="2"/>
    </row>
    <row r="32" spans="1:4" x14ac:dyDescent="0.3">
      <c r="A32" s="6" t="s">
        <v>50</v>
      </c>
      <c r="B32" s="7"/>
      <c r="C32" s="7"/>
      <c r="D32" s="7"/>
    </row>
    <row r="33" spans="1:4" x14ac:dyDescent="0.3">
      <c r="A33" t="s">
        <v>51</v>
      </c>
      <c r="C33" s="9">
        <v>0.4</v>
      </c>
      <c r="D33" s="2" t="s">
        <v>52</v>
      </c>
    </row>
    <row r="34" spans="1:4" x14ac:dyDescent="0.3">
      <c r="A34" t="s">
        <v>53</v>
      </c>
      <c r="C34" s="9">
        <v>0.03</v>
      </c>
    </row>
    <row r="35" spans="1:4" x14ac:dyDescent="0.3">
      <c r="A35" t="s">
        <v>54</v>
      </c>
      <c r="C35" s="9">
        <v>0.06</v>
      </c>
    </row>
    <row r="36" spans="1:4" x14ac:dyDescent="0.3">
      <c r="A36" t="s">
        <v>55</v>
      </c>
      <c r="C36" s="9">
        <v>0.08</v>
      </c>
    </row>
    <row r="37" spans="1:4" x14ac:dyDescent="0.3">
      <c r="A37" t="s">
        <v>56</v>
      </c>
      <c r="C37" s="9">
        <v>0.02</v>
      </c>
    </row>
    <row r="39" spans="1:4" x14ac:dyDescent="0.3">
      <c r="A39" s="15" t="s">
        <v>57</v>
      </c>
    </row>
    <row r="40" spans="1:4" x14ac:dyDescent="0.3">
      <c r="A40" s="15" t="s">
        <v>58</v>
      </c>
    </row>
    <row r="41" spans="1:4" x14ac:dyDescent="0.3">
      <c r="A41" s="15" t="s">
        <v>59</v>
      </c>
    </row>
    <row r="42" spans="1:4" x14ac:dyDescent="0.3">
      <c r="A42" s="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26.88671875" customWidth="1"/>
    <col min="2" max="12" width="13" customWidth="1"/>
    <col min="13" max="13" width="40" customWidth="1"/>
  </cols>
  <sheetData>
    <row r="1" spans="1:13" ht="18" x14ac:dyDescent="0.35">
      <c r="A1" s="1" t="s">
        <v>61</v>
      </c>
    </row>
    <row r="2" spans="1:13" x14ac:dyDescent="0.3">
      <c r="A2" s="2" t="s">
        <v>62</v>
      </c>
    </row>
    <row r="4" spans="1:13" ht="55.2" x14ac:dyDescent="0.3">
      <c r="A4" s="16" t="s">
        <v>63</v>
      </c>
      <c r="B4" s="16" t="s">
        <v>64</v>
      </c>
      <c r="C4" s="16" t="s">
        <v>65</v>
      </c>
      <c r="D4" s="16" t="s">
        <v>66</v>
      </c>
      <c r="E4" s="16" t="s">
        <v>67</v>
      </c>
      <c r="F4" s="16" t="s">
        <v>68</v>
      </c>
      <c r="G4" s="16" t="s">
        <v>69</v>
      </c>
      <c r="H4" s="16" t="s">
        <v>70</v>
      </c>
      <c r="I4" s="16" t="s">
        <v>71</v>
      </c>
      <c r="J4" s="16" t="s">
        <v>72</v>
      </c>
      <c r="K4" s="16" t="s">
        <v>73</v>
      </c>
      <c r="L4" s="16" t="s">
        <v>74</v>
      </c>
    </row>
    <row r="5" spans="1:13" x14ac:dyDescent="0.3">
      <c r="A5" s="17">
        <v>0.3</v>
      </c>
      <c r="B5" s="11">
        <f>INPUTS!$C$9*(1+$A5)</f>
        <v>20.8</v>
      </c>
      <c r="C5" s="11">
        <f>B5-INPUTS!$C$9</f>
        <v>4.8000000000000007</v>
      </c>
      <c r="D5" s="17">
        <f t="shared" ref="D5:D10" si="0">C5/B5</f>
        <v>0.23076923076923078</v>
      </c>
      <c r="E5" s="18">
        <f>B5*INPUTS!$C$15</f>
        <v>11731.2</v>
      </c>
      <c r="F5" s="19">
        <f>E5/INPUTS!$C$5</f>
        <v>3128.32</v>
      </c>
      <c r="G5" s="11">
        <f>INPUTS!$C$10-B5</f>
        <v>9.1999999999999993</v>
      </c>
      <c r="H5" s="17">
        <f>G5/INPUTS!$C$10</f>
        <v>0.30666666666666664</v>
      </c>
      <c r="I5" s="17">
        <f t="shared" ref="I5:I10" si="1">G5/B5</f>
        <v>0.44230769230769224</v>
      </c>
      <c r="J5" s="18">
        <f>G5*INPUTS!$C$15</f>
        <v>5188.7999999999993</v>
      </c>
      <c r="K5" s="18">
        <f>C5*INPUTS!$C$15</f>
        <v>2707.2000000000003</v>
      </c>
      <c r="L5" s="18">
        <f>K5*INPUTS!$C$14</f>
        <v>27072.000000000004</v>
      </c>
    </row>
    <row r="6" spans="1:13" x14ac:dyDescent="0.3">
      <c r="A6" s="17">
        <v>0.35</v>
      </c>
      <c r="B6" s="11">
        <f>INPUTS!$C$9*(1+$A6)</f>
        <v>21.6</v>
      </c>
      <c r="C6" s="11">
        <f>B6-INPUTS!$C$9</f>
        <v>5.6000000000000014</v>
      </c>
      <c r="D6" s="17">
        <f t="shared" si="0"/>
        <v>0.2592592592592593</v>
      </c>
      <c r="E6" s="18">
        <f>B6*INPUTS!$C$15</f>
        <v>12182.400000000001</v>
      </c>
      <c r="F6" s="19">
        <f>E6/INPUTS!$C$5</f>
        <v>3248.6400000000003</v>
      </c>
      <c r="G6" s="11">
        <f>INPUTS!$C$10-B6</f>
        <v>8.3999999999999986</v>
      </c>
      <c r="H6" s="17">
        <f>G6/INPUTS!$C$10</f>
        <v>0.27999999999999997</v>
      </c>
      <c r="I6" s="17">
        <f t="shared" si="1"/>
        <v>0.38888888888888878</v>
      </c>
      <c r="J6" s="18">
        <f>G6*INPUTS!$C$15</f>
        <v>4737.5999999999995</v>
      </c>
      <c r="K6" s="18">
        <f>C6*INPUTS!$C$15</f>
        <v>3158.400000000001</v>
      </c>
      <c r="L6" s="18">
        <f>K6*INPUTS!$C$14</f>
        <v>31584.000000000011</v>
      </c>
    </row>
    <row r="7" spans="1:13" x14ac:dyDescent="0.3">
      <c r="A7" s="17">
        <v>0.4</v>
      </c>
      <c r="B7" s="11">
        <f>INPUTS!$C$9*(1+$A7)</f>
        <v>22.4</v>
      </c>
      <c r="C7" s="11">
        <f>B7-INPUTS!$C$9</f>
        <v>6.3999999999999986</v>
      </c>
      <c r="D7" s="17">
        <f t="shared" si="0"/>
        <v>0.28571428571428564</v>
      </c>
      <c r="E7" s="18">
        <f>B7*INPUTS!$C$15</f>
        <v>12633.599999999999</v>
      </c>
      <c r="F7" s="19">
        <f>E7/INPUTS!$C$5</f>
        <v>3368.9599999999996</v>
      </c>
      <c r="G7" s="11">
        <f>INPUTS!$C$10-B7</f>
        <v>7.6000000000000014</v>
      </c>
      <c r="H7" s="17">
        <f>G7/INPUTS!$C$10</f>
        <v>0.25333333333333335</v>
      </c>
      <c r="I7" s="17">
        <f t="shared" si="1"/>
        <v>0.33928571428571436</v>
      </c>
      <c r="J7" s="18">
        <f>G7*INPUTS!$C$15</f>
        <v>4286.4000000000005</v>
      </c>
      <c r="K7" s="18">
        <f>C7*INPUTS!$C$15</f>
        <v>3609.599999999999</v>
      </c>
      <c r="L7" s="18">
        <f>K7*INPUTS!$C$14</f>
        <v>36095.999999999993</v>
      </c>
    </row>
    <row r="8" spans="1:13" x14ac:dyDescent="0.3">
      <c r="A8" s="17">
        <v>0.45</v>
      </c>
      <c r="B8" s="11">
        <f>INPUTS!$C$9*(1+$A8)</f>
        <v>23.2</v>
      </c>
      <c r="C8" s="11">
        <f>B8-INPUTS!$C$9</f>
        <v>7.1999999999999993</v>
      </c>
      <c r="D8" s="17">
        <f t="shared" si="0"/>
        <v>0.31034482758620685</v>
      </c>
      <c r="E8" s="18">
        <f>B8*INPUTS!$C$15</f>
        <v>13084.8</v>
      </c>
      <c r="F8" s="19">
        <f>E8/INPUTS!$C$5</f>
        <v>3489.2799999999997</v>
      </c>
      <c r="G8" s="11">
        <f>INPUTS!$C$10-B8</f>
        <v>6.8000000000000007</v>
      </c>
      <c r="H8" s="17">
        <f>G8/INPUTS!$C$10</f>
        <v>0.22666666666666668</v>
      </c>
      <c r="I8" s="17">
        <f t="shared" si="1"/>
        <v>0.2931034482758621</v>
      </c>
      <c r="J8" s="18">
        <f>G8*INPUTS!$C$15</f>
        <v>3835.2000000000003</v>
      </c>
      <c r="K8" s="18">
        <f>C8*INPUTS!$C$15</f>
        <v>4060.7999999999997</v>
      </c>
      <c r="L8" s="18">
        <f>K8*INPUTS!$C$14</f>
        <v>40608</v>
      </c>
    </row>
    <row r="9" spans="1:13" x14ac:dyDescent="0.3">
      <c r="A9" s="17">
        <v>0.5</v>
      </c>
      <c r="B9" s="11">
        <f>INPUTS!$C$9*(1+$A9)</f>
        <v>24</v>
      </c>
      <c r="C9" s="11">
        <f>B9-INPUTS!$C$9</f>
        <v>8</v>
      </c>
      <c r="D9" s="17">
        <f t="shared" si="0"/>
        <v>0.33333333333333331</v>
      </c>
      <c r="E9" s="18">
        <f>B9*INPUTS!$C$15</f>
        <v>13536</v>
      </c>
      <c r="F9" s="19">
        <f>E9/INPUTS!$C$5</f>
        <v>3609.6</v>
      </c>
      <c r="G9" s="11">
        <f>INPUTS!$C$10-B9</f>
        <v>6</v>
      </c>
      <c r="H9" s="17">
        <f>G9/INPUTS!$C$10</f>
        <v>0.2</v>
      </c>
      <c r="I9" s="17">
        <f t="shared" si="1"/>
        <v>0.25</v>
      </c>
      <c r="J9" s="18">
        <f>G9*INPUTS!$C$15</f>
        <v>3384</v>
      </c>
      <c r="K9" s="18">
        <f>C9*INPUTS!$C$15</f>
        <v>4512</v>
      </c>
      <c r="L9" s="18">
        <f>K9*INPUTS!$C$14</f>
        <v>45120</v>
      </c>
    </row>
    <row r="10" spans="1:13" x14ac:dyDescent="0.3">
      <c r="A10" s="17">
        <f>B10/INPUTS!$C$9-1</f>
        <v>0.4375</v>
      </c>
      <c r="B10" s="11">
        <f>INPUTS!$C$9+(INPUTS!$C$10-INPUTS!$C$9)/2</f>
        <v>23</v>
      </c>
      <c r="C10" s="11">
        <f>B10-INPUTS!$C$9</f>
        <v>7</v>
      </c>
      <c r="D10" s="17">
        <f t="shared" si="0"/>
        <v>0.30434782608695654</v>
      </c>
      <c r="E10" s="18">
        <f>B10*INPUTS!$C$15</f>
        <v>12972</v>
      </c>
      <c r="F10" s="19">
        <f>E10/INPUTS!$C$5</f>
        <v>3459.2</v>
      </c>
      <c r="G10" s="11">
        <f>INPUTS!$C$10-B10</f>
        <v>7</v>
      </c>
      <c r="H10" s="17">
        <f>G10/INPUTS!$C$10</f>
        <v>0.23333333333333334</v>
      </c>
      <c r="I10" s="17">
        <f t="shared" si="1"/>
        <v>0.30434782608695654</v>
      </c>
      <c r="J10" s="18">
        <f>G10*INPUTS!$C$15</f>
        <v>3948</v>
      </c>
      <c r="K10" s="18">
        <f>C10*INPUTS!$C$15</f>
        <v>3948</v>
      </c>
      <c r="L10" s="18">
        <f>K10*INPUTS!$C$14</f>
        <v>39480</v>
      </c>
      <c r="M10" s="2" t="s">
        <v>75</v>
      </c>
    </row>
    <row r="12" spans="1:13" x14ac:dyDescent="0.3">
      <c r="A12" s="5" t="s">
        <v>76</v>
      </c>
    </row>
    <row r="13" spans="1:13" ht="55.2" x14ac:dyDescent="0.3">
      <c r="A13" s="16" t="s">
        <v>77</v>
      </c>
      <c r="B13" s="16" t="s">
        <v>64</v>
      </c>
      <c r="C13" s="16" t="s">
        <v>65</v>
      </c>
      <c r="D13" s="16" t="s">
        <v>66</v>
      </c>
      <c r="E13" s="16" t="s">
        <v>67</v>
      </c>
      <c r="F13" s="16" t="s">
        <v>68</v>
      </c>
      <c r="G13" s="16" t="s">
        <v>69</v>
      </c>
      <c r="H13" s="16" t="s">
        <v>70</v>
      </c>
      <c r="I13" s="16" t="s">
        <v>71</v>
      </c>
      <c r="J13" s="16" t="s">
        <v>72</v>
      </c>
      <c r="K13" s="16" t="s">
        <v>73</v>
      </c>
      <c r="L13" s="16" t="s">
        <v>74</v>
      </c>
    </row>
    <row r="14" spans="1:13" x14ac:dyDescent="0.3">
      <c r="A14" s="17">
        <v>0.3</v>
      </c>
      <c r="B14" s="11">
        <f>INPUTS!$C$9/(1-$A14)</f>
        <v>22.857142857142858</v>
      </c>
      <c r="C14" s="11">
        <f>B14-INPUTS!$C$9</f>
        <v>6.8571428571428577</v>
      </c>
      <c r="D14" s="17">
        <f>C14/B14</f>
        <v>0.3</v>
      </c>
      <c r="E14" s="18">
        <f>B14*INPUTS!$C$15</f>
        <v>12891.428571428572</v>
      </c>
      <c r="F14" s="19">
        <f>E14/INPUTS!$C$5</f>
        <v>3437.7142857142858</v>
      </c>
      <c r="G14" s="11">
        <f>INPUTS!$C$10-B14</f>
        <v>7.1428571428571423</v>
      </c>
      <c r="H14" s="17">
        <f>G14/INPUTS!$C$10</f>
        <v>0.23809523809523808</v>
      </c>
      <c r="I14" s="17">
        <f>G14/B14</f>
        <v>0.31249999999999994</v>
      </c>
      <c r="J14" s="18">
        <f>G14*INPUTS!$C$15</f>
        <v>4028.5714285714284</v>
      </c>
      <c r="K14" s="18">
        <f>C14*INPUTS!$C$15</f>
        <v>3867.4285714285716</v>
      </c>
      <c r="L14" s="18">
        <f>K14*INPUTS!$C$14</f>
        <v>38674.285714285717</v>
      </c>
      <c r="M14" s="15" t="str">
        <f>IF(B14&gt;=INPUTS!$C$10,"⚠ supera el precio público — inviable","")</f>
        <v/>
      </c>
    </row>
    <row r="15" spans="1:13" x14ac:dyDescent="0.3">
      <c r="A15" s="17">
        <v>0.4</v>
      </c>
      <c r="B15" s="11">
        <f>INPUTS!$C$9/(1-$A15)</f>
        <v>26.666666666666668</v>
      </c>
      <c r="C15" s="11">
        <f>B15-INPUTS!$C$9</f>
        <v>10.666666666666668</v>
      </c>
      <c r="D15" s="17">
        <f>C15/B15</f>
        <v>0.4</v>
      </c>
      <c r="E15" s="18">
        <f>B15*INPUTS!$C$15</f>
        <v>15040</v>
      </c>
      <c r="F15" s="19">
        <f>E15/INPUTS!$C$5</f>
        <v>4010.6666666666665</v>
      </c>
      <c r="G15" s="11">
        <f>INPUTS!$C$10-B15</f>
        <v>3.3333333333333321</v>
      </c>
      <c r="H15" s="17">
        <f>G15/INPUTS!$C$10</f>
        <v>0.11111111111111108</v>
      </c>
      <c r="I15" s="17">
        <f>G15/B15</f>
        <v>0.12499999999999994</v>
      </c>
      <c r="J15" s="18">
        <f>G15*INPUTS!$C$15</f>
        <v>1879.9999999999993</v>
      </c>
      <c r="K15" s="18">
        <f>C15*INPUTS!$C$15</f>
        <v>6016.0000000000009</v>
      </c>
      <c r="L15" s="18">
        <f>K15*INPUTS!$C$14</f>
        <v>60160.000000000007</v>
      </c>
      <c r="M15" s="15" t="str">
        <f>IF(B15&gt;=INPUTS!$C$10,"⚠ supera el precio público — inviable","")</f>
        <v/>
      </c>
    </row>
    <row r="16" spans="1:13" x14ac:dyDescent="0.3">
      <c r="A16" s="17">
        <v>0.5</v>
      </c>
      <c r="B16" s="11">
        <f>INPUTS!$C$9/(1-$A16)</f>
        <v>32</v>
      </c>
      <c r="C16" s="11">
        <f>B16-INPUTS!$C$9</f>
        <v>16</v>
      </c>
      <c r="D16" s="17">
        <f>C16/B16</f>
        <v>0.5</v>
      </c>
      <c r="E16" s="18">
        <f>B16*INPUTS!$C$15</f>
        <v>18048</v>
      </c>
      <c r="F16" s="19">
        <f>E16/INPUTS!$C$5</f>
        <v>4812.8</v>
      </c>
      <c r="G16" s="11">
        <f>INPUTS!$C$10-B16</f>
        <v>-2</v>
      </c>
      <c r="H16" s="17">
        <f>G16/INPUTS!$C$10</f>
        <v>-6.6666666666666666E-2</v>
      </c>
      <c r="I16" s="17">
        <f>G16/B16</f>
        <v>-6.25E-2</v>
      </c>
      <c r="J16" s="18">
        <f>G16*INPUTS!$C$15</f>
        <v>-1128</v>
      </c>
      <c r="K16" s="18">
        <f>C16*INPUTS!$C$15</f>
        <v>9024</v>
      </c>
      <c r="L16" s="18">
        <f>K16*INPUTS!$C$14</f>
        <v>90240</v>
      </c>
      <c r="M16" s="15" t="str">
        <f>IF(B16&gt;=INPUTS!$C$10,"⚠ supera el precio público — inviable","")</f>
        <v>⚠ supera el precio público — inviable</v>
      </c>
    </row>
    <row r="18" spans="1:5" x14ac:dyDescent="0.3">
      <c r="A18" s="5" t="s">
        <v>78</v>
      </c>
    </row>
    <row r="19" spans="1:5" x14ac:dyDescent="0.3">
      <c r="A19" t="s">
        <v>79</v>
      </c>
      <c r="B19" s="12">
        <v>20</v>
      </c>
      <c r="C19" s="12">
        <v>40</v>
      </c>
      <c r="D19" s="12">
        <v>60</v>
      </c>
      <c r="E19" s="12">
        <v>100</v>
      </c>
    </row>
    <row r="20" spans="1:5" x14ac:dyDescent="0.3">
      <c r="A20" t="s">
        <v>80</v>
      </c>
      <c r="B20" s="20">
        <f>INPUTS!$C$15/B19</f>
        <v>28.2</v>
      </c>
      <c r="C20" s="20">
        <f>INPUTS!$C$15/C19</f>
        <v>14.1</v>
      </c>
      <c r="D20" s="20">
        <f>INPUTS!$C$15/D19</f>
        <v>9.4</v>
      </c>
      <c r="E20" s="20">
        <f>INPUTS!$C$15/E19</f>
        <v>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8.5546875" customWidth="1"/>
    <col min="2" max="12" width="13" customWidth="1"/>
    <col min="13" max="13" width="40" customWidth="1"/>
  </cols>
  <sheetData>
    <row r="1" spans="1:13" ht="18" x14ac:dyDescent="0.35">
      <c r="A1" s="1" t="s">
        <v>81</v>
      </c>
    </row>
    <row r="2" spans="1:13" x14ac:dyDescent="0.3">
      <c r="A2" s="2" t="s">
        <v>82</v>
      </c>
    </row>
    <row r="3" spans="1:13" x14ac:dyDescent="0.3">
      <c r="A3" s="15" t="s">
        <v>83</v>
      </c>
    </row>
    <row r="4" spans="1:13" ht="55.2" x14ac:dyDescent="0.3">
      <c r="A4" s="16" t="s">
        <v>63</v>
      </c>
      <c r="B4" s="16" t="s">
        <v>64</v>
      </c>
      <c r="C4" s="16" t="s">
        <v>65</v>
      </c>
      <c r="D4" s="16" t="s">
        <v>66</v>
      </c>
      <c r="E4" s="16" t="s">
        <v>67</v>
      </c>
      <c r="F4" s="16" t="s">
        <v>68</v>
      </c>
      <c r="G4" s="16" t="s">
        <v>69</v>
      </c>
      <c r="H4" s="16" t="s">
        <v>70</v>
      </c>
      <c r="I4" s="16" t="s">
        <v>71</v>
      </c>
      <c r="J4" s="16" t="s">
        <v>72</v>
      </c>
      <c r="K4" s="16" t="s">
        <v>73</v>
      </c>
      <c r="L4" s="16" t="s">
        <v>74</v>
      </c>
    </row>
    <row r="5" spans="1:13" x14ac:dyDescent="0.3">
      <c r="A5" s="17">
        <v>0.3</v>
      </c>
      <c r="B5" s="11">
        <f>INPUTS!$C$22*(1+$A5)</f>
        <v>18.2</v>
      </c>
      <c r="C5" s="11">
        <f>B5-INPUTS!$C$22</f>
        <v>4.1999999999999993</v>
      </c>
      <c r="D5" s="17">
        <f t="shared" ref="D5:D10" si="0">C5/B5</f>
        <v>0.23076923076923073</v>
      </c>
      <c r="E5" s="18">
        <f>B5*INPUTS!$C$28</f>
        <v>19328.399999999998</v>
      </c>
      <c r="F5" s="19">
        <f>E5/INPUTS!$C$5</f>
        <v>5154.24</v>
      </c>
      <c r="G5" s="11">
        <f>INPUTS!$C$23-B5</f>
        <v>6.8000000000000007</v>
      </c>
      <c r="H5" s="17">
        <f>G5/INPUTS!$C$23</f>
        <v>0.27200000000000002</v>
      </c>
      <c r="I5" s="17">
        <f t="shared" ref="I5:I10" si="1">G5/B5</f>
        <v>0.37362637362637369</v>
      </c>
      <c r="J5" s="18">
        <f>G5*INPUTS!$C$28</f>
        <v>7221.6</v>
      </c>
      <c r="K5" s="18">
        <f>C5*INPUTS!$C$28</f>
        <v>4460.3999999999996</v>
      </c>
      <c r="L5" s="18">
        <f>K5*INPUTS!$C$27</f>
        <v>44604</v>
      </c>
    </row>
    <row r="6" spans="1:13" x14ac:dyDescent="0.3">
      <c r="A6" s="17">
        <v>0.35</v>
      </c>
      <c r="B6" s="11">
        <f>INPUTS!$C$22*(1+$A6)</f>
        <v>18.900000000000002</v>
      </c>
      <c r="C6" s="11">
        <f>B6-INPUTS!$C$22</f>
        <v>4.9000000000000021</v>
      </c>
      <c r="D6" s="17">
        <f t="shared" si="0"/>
        <v>0.25925925925925936</v>
      </c>
      <c r="E6" s="18">
        <f>B6*INPUTS!$C$28</f>
        <v>20071.800000000003</v>
      </c>
      <c r="F6" s="19">
        <f>E6/INPUTS!$C$5</f>
        <v>5352.4800000000005</v>
      </c>
      <c r="G6" s="11">
        <f>INPUTS!$C$23-B6</f>
        <v>6.0999999999999979</v>
      </c>
      <c r="H6" s="17">
        <f>G6/INPUTS!$C$23</f>
        <v>0.24399999999999991</v>
      </c>
      <c r="I6" s="17">
        <f t="shared" si="1"/>
        <v>0.32275132275132262</v>
      </c>
      <c r="J6" s="18">
        <f>G6*INPUTS!$C$28</f>
        <v>6478.199999999998</v>
      </c>
      <c r="K6" s="18">
        <f>C6*INPUTS!$C$28</f>
        <v>5203.800000000002</v>
      </c>
      <c r="L6" s="18">
        <f>K6*INPUTS!$C$27</f>
        <v>52038.000000000022</v>
      </c>
    </row>
    <row r="7" spans="1:13" x14ac:dyDescent="0.3">
      <c r="A7" s="17">
        <v>0.4</v>
      </c>
      <c r="B7" s="11">
        <f>INPUTS!$C$22*(1+$A7)</f>
        <v>19.599999999999998</v>
      </c>
      <c r="C7" s="11">
        <f>B7-INPUTS!$C$22</f>
        <v>5.5999999999999979</v>
      </c>
      <c r="D7" s="17">
        <f t="shared" si="0"/>
        <v>0.28571428571428564</v>
      </c>
      <c r="E7" s="18">
        <f>B7*INPUTS!$C$28</f>
        <v>20815.199999999997</v>
      </c>
      <c r="F7" s="19">
        <f>E7/INPUTS!$C$5</f>
        <v>5550.7199999999993</v>
      </c>
      <c r="G7" s="11">
        <f>INPUTS!$C$23-B7</f>
        <v>5.4000000000000021</v>
      </c>
      <c r="H7" s="17">
        <f>G7/INPUTS!$C$23</f>
        <v>0.21600000000000008</v>
      </c>
      <c r="I7" s="17">
        <f t="shared" si="1"/>
        <v>0.27551020408163279</v>
      </c>
      <c r="J7" s="18">
        <f>G7*INPUTS!$C$28</f>
        <v>5734.800000000002</v>
      </c>
      <c r="K7" s="18">
        <f>C7*INPUTS!$C$28</f>
        <v>5947.199999999998</v>
      </c>
      <c r="L7" s="18">
        <f>K7*INPUTS!$C$27</f>
        <v>59471.999999999978</v>
      </c>
    </row>
    <row r="8" spans="1:13" x14ac:dyDescent="0.3">
      <c r="A8" s="17">
        <v>0.45</v>
      </c>
      <c r="B8" s="11">
        <f>INPUTS!$C$22*(1+$A8)</f>
        <v>20.3</v>
      </c>
      <c r="C8" s="11">
        <f>B8-INPUTS!$C$22</f>
        <v>6.3000000000000007</v>
      </c>
      <c r="D8" s="17">
        <f t="shared" si="0"/>
        <v>0.31034482758620691</v>
      </c>
      <c r="E8" s="18">
        <f>B8*INPUTS!$C$28</f>
        <v>21558.600000000002</v>
      </c>
      <c r="F8" s="19">
        <f>E8/INPUTS!$C$5</f>
        <v>5748.9600000000009</v>
      </c>
      <c r="G8" s="11">
        <f>INPUTS!$C$23-B8</f>
        <v>4.6999999999999993</v>
      </c>
      <c r="H8" s="17">
        <f>G8/INPUTS!$C$23</f>
        <v>0.18799999999999997</v>
      </c>
      <c r="I8" s="17">
        <f t="shared" si="1"/>
        <v>0.23152709359605908</v>
      </c>
      <c r="J8" s="18">
        <f>G8*INPUTS!$C$28</f>
        <v>4991.3999999999996</v>
      </c>
      <c r="K8" s="18">
        <f>C8*INPUTS!$C$28</f>
        <v>6690.6</v>
      </c>
      <c r="L8" s="18">
        <f>K8*INPUTS!$C$27</f>
        <v>66906</v>
      </c>
    </row>
    <row r="9" spans="1:13" x14ac:dyDescent="0.3">
      <c r="A9" s="17">
        <v>0.5</v>
      </c>
      <c r="B9" s="11">
        <f>INPUTS!$C$22*(1+$A9)</f>
        <v>21</v>
      </c>
      <c r="C9" s="11">
        <f>B9-INPUTS!$C$22</f>
        <v>7</v>
      </c>
      <c r="D9" s="17">
        <f t="shared" si="0"/>
        <v>0.33333333333333331</v>
      </c>
      <c r="E9" s="18">
        <f>B9*INPUTS!$C$28</f>
        <v>22302</v>
      </c>
      <c r="F9" s="19">
        <f>E9/INPUTS!$C$5</f>
        <v>5947.2</v>
      </c>
      <c r="G9" s="11">
        <f>INPUTS!$C$23-B9</f>
        <v>4</v>
      </c>
      <c r="H9" s="17">
        <f>G9/INPUTS!$C$23</f>
        <v>0.16</v>
      </c>
      <c r="I9" s="17">
        <f t="shared" si="1"/>
        <v>0.19047619047619047</v>
      </c>
      <c r="J9" s="18">
        <f>G9*INPUTS!$C$28</f>
        <v>4248</v>
      </c>
      <c r="K9" s="18">
        <f>C9*INPUTS!$C$28</f>
        <v>7434</v>
      </c>
      <c r="L9" s="18">
        <f>K9*INPUTS!$C$27</f>
        <v>74340</v>
      </c>
    </row>
    <row r="10" spans="1:13" x14ac:dyDescent="0.3">
      <c r="A10" s="17">
        <f>B10/INPUTS!$C$22-1</f>
        <v>0.39285714285714279</v>
      </c>
      <c r="B10" s="11">
        <f>INPUTS!$C$22+(INPUTS!$C$23-INPUTS!$C$22)/2</f>
        <v>19.5</v>
      </c>
      <c r="C10" s="11">
        <f>B10-INPUTS!$C$22</f>
        <v>5.5</v>
      </c>
      <c r="D10" s="17">
        <f t="shared" si="0"/>
        <v>0.28205128205128205</v>
      </c>
      <c r="E10" s="18">
        <f>B10*INPUTS!$C$28</f>
        <v>20709</v>
      </c>
      <c r="F10" s="19">
        <f>E10/INPUTS!$C$5</f>
        <v>5522.4</v>
      </c>
      <c r="G10" s="11">
        <f>INPUTS!$C$23-B10</f>
        <v>5.5</v>
      </c>
      <c r="H10" s="17">
        <f>G10/INPUTS!$C$23</f>
        <v>0.22</v>
      </c>
      <c r="I10" s="17">
        <f t="shared" si="1"/>
        <v>0.28205128205128205</v>
      </c>
      <c r="J10" s="18">
        <f>G10*INPUTS!$C$28</f>
        <v>5841</v>
      </c>
      <c r="K10" s="18">
        <f>C10*INPUTS!$C$28</f>
        <v>5841</v>
      </c>
      <c r="L10" s="18">
        <f>K10*INPUTS!$C$27</f>
        <v>58410</v>
      </c>
      <c r="M10" s="2" t="s">
        <v>75</v>
      </c>
    </row>
    <row r="12" spans="1:13" x14ac:dyDescent="0.3">
      <c r="A12" s="5" t="s">
        <v>76</v>
      </c>
    </row>
    <row r="13" spans="1:13" ht="55.2" x14ac:dyDescent="0.3">
      <c r="A13" s="16" t="s">
        <v>77</v>
      </c>
      <c r="B13" s="16" t="s">
        <v>64</v>
      </c>
      <c r="C13" s="16" t="s">
        <v>65</v>
      </c>
      <c r="D13" s="16" t="s">
        <v>66</v>
      </c>
      <c r="E13" s="16" t="s">
        <v>67</v>
      </c>
      <c r="F13" s="16" t="s">
        <v>68</v>
      </c>
      <c r="G13" s="16" t="s">
        <v>69</v>
      </c>
      <c r="H13" s="16" t="s">
        <v>70</v>
      </c>
      <c r="I13" s="16" t="s">
        <v>71</v>
      </c>
      <c r="J13" s="16" t="s">
        <v>72</v>
      </c>
      <c r="K13" s="16" t="s">
        <v>73</v>
      </c>
      <c r="L13" s="16" t="s">
        <v>74</v>
      </c>
    </row>
    <row r="14" spans="1:13" x14ac:dyDescent="0.3">
      <c r="A14" s="17">
        <v>0.3</v>
      </c>
      <c r="B14" s="11">
        <f>INPUTS!$C$22/(1-$A14)</f>
        <v>20</v>
      </c>
      <c r="C14" s="11">
        <f>B14-INPUTS!$C$22</f>
        <v>6</v>
      </c>
      <c r="D14" s="17">
        <f>C14/B14</f>
        <v>0.3</v>
      </c>
      <c r="E14" s="18">
        <f>B14*INPUTS!$C$28</f>
        <v>21240</v>
      </c>
      <c r="F14" s="19">
        <f>E14/INPUTS!$C$5</f>
        <v>5664</v>
      </c>
      <c r="G14" s="11">
        <f>INPUTS!$C$23-B14</f>
        <v>5</v>
      </c>
      <c r="H14" s="17">
        <f>G14/INPUTS!$C$23</f>
        <v>0.2</v>
      </c>
      <c r="I14" s="17">
        <f>G14/B14</f>
        <v>0.25</v>
      </c>
      <c r="J14" s="18">
        <f>G14*INPUTS!$C$28</f>
        <v>5310</v>
      </c>
      <c r="K14" s="18">
        <f>C14*INPUTS!$C$28</f>
        <v>6372</v>
      </c>
      <c r="L14" s="18">
        <f>K14*INPUTS!$C$27</f>
        <v>63720</v>
      </c>
      <c r="M14" s="15" t="str">
        <f>IF(B14&gt;=INPUTS!$C$23,"⚠ supera el precio público — inviable","")</f>
        <v/>
      </c>
    </row>
    <row r="15" spans="1:13" x14ac:dyDescent="0.3">
      <c r="A15" s="17">
        <v>0.4</v>
      </c>
      <c r="B15" s="11">
        <f>INPUTS!$C$22/(1-$A15)</f>
        <v>23.333333333333336</v>
      </c>
      <c r="C15" s="11">
        <f>B15-INPUTS!$C$22</f>
        <v>9.3333333333333357</v>
      </c>
      <c r="D15" s="17">
        <f>C15/B15</f>
        <v>0.40000000000000008</v>
      </c>
      <c r="E15" s="18">
        <f>B15*INPUTS!$C$28</f>
        <v>24780.000000000004</v>
      </c>
      <c r="F15" s="19">
        <f>E15/INPUTS!$C$5</f>
        <v>6608.0000000000009</v>
      </c>
      <c r="G15" s="11">
        <f>INPUTS!$C$23-B15</f>
        <v>1.6666666666666643</v>
      </c>
      <c r="H15" s="17">
        <f>G15/INPUTS!$C$23</f>
        <v>6.6666666666666569E-2</v>
      </c>
      <c r="I15" s="17">
        <f>G15/B15</f>
        <v>7.1428571428571314E-2</v>
      </c>
      <c r="J15" s="18">
        <f>G15*INPUTS!$C$28</f>
        <v>1769.9999999999975</v>
      </c>
      <c r="K15" s="18">
        <f>C15*INPUTS!$C$28</f>
        <v>9912.0000000000018</v>
      </c>
      <c r="L15" s="18">
        <f>K15*INPUTS!$C$27</f>
        <v>99120.000000000015</v>
      </c>
      <c r="M15" s="15" t="str">
        <f>IF(B15&gt;=INPUTS!$C$23,"⚠ supera el precio público — inviable","")</f>
        <v/>
      </c>
    </row>
    <row r="16" spans="1:13" x14ac:dyDescent="0.3">
      <c r="A16" s="17">
        <v>0.5</v>
      </c>
      <c r="B16" s="11">
        <f>INPUTS!$C$22/(1-$A16)</f>
        <v>28</v>
      </c>
      <c r="C16" s="11">
        <f>B16-INPUTS!$C$22</f>
        <v>14</v>
      </c>
      <c r="D16" s="17">
        <f>C16/B16</f>
        <v>0.5</v>
      </c>
      <c r="E16" s="18">
        <f>B16*INPUTS!$C$28</f>
        <v>29736</v>
      </c>
      <c r="F16" s="19">
        <f>E16/INPUTS!$C$5</f>
        <v>7929.6</v>
      </c>
      <c r="G16" s="11">
        <f>INPUTS!$C$23-B16</f>
        <v>-3</v>
      </c>
      <c r="H16" s="17">
        <f>G16/INPUTS!$C$23</f>
        <v>-0.12</v>
      </c>
      <c r="I16" s="17">
        <f>G16/B16</f>
        <v>-0.10714285714285714</v>
      </c>
      <c r="J16" s="18">
        <f>G16*INPUTS!$C$28</f>
        <v>-3186</v>
      </c>
      <c r="K16" s="18">
        <f>C16*INPUTS!$C$28</f>
        <v>14868</v>
      </c>
      <c r="L16" s="18">
        <f>K16*INPUTS!$C$27</f>
        <v>148680</v>
      </c>
      <c r="M16" s="15" t="str">
        <f>IF(B16&gt;=INPUTS!$C$23,"⚠ supera el precio público — inviable","")</f>
        <v>⚠ supera el precio público — inviable</v>
      </c>
    </row>
    <row r="18" spans="1:13" x14ac:dyDescent="0.3">
      <c r="A18" s="5" t="s">
        <v>78</v>
      </c>
    </row>
    <row r="19" spans="1:13" x14ac:dyDescent="0.3">
      <c r="A19" t="s">
        <v>79</v>
      </c>
      <c r="B19" s="12">
        <v>20</v>
      </c>
      <c r="C19" s="12">
        <v>40</v>
      </c>
      <c r="D19" s="12">
        <v>60</v>
      </c>
      <c r="E19" s="12">
        <v>100</v>
      </c>
    </row>
    <row r="20" spans="1:13" x14ac:dyDescent="0.3">
      <c r="A20" t="s">
        <v>80</v>
      </c>
      <c r="B20" s="20">
        <f>INPUTS!$C$28/B19</f>
        <v>53.1</v>
      </c>
      <c r="C20" s="20">
        <f>INPUTS!$C$28/C19</f>
        <v>26.55</v>
      </c>
      <c r="D20" s="20">
        <f>INPUTS!$C$28/D19</f>
        <v>17.7</v>
      </c>
      <c r="E20" s="20">
        <f>INPUTS!$C$28/E19</f>
        <v>10.62</v>
      </c>
    </row>
    <row r="23" spans="1:13" ht="18" x14ac:dyDescent="0.35">
      <c r="A23" s="1" t="s">
        <v>84</v>
      </c>
    </row>
    <row r="24" spans="1:13" x14ac:dyDescent="0.3">
      <c r="A24" s="2" t="s">
        <v>85</v>
      </c>
    </row>
    <row r="26" spans="1:13" ht="55.2" x14ac:dyDescent="0.3">
      <c r="A26" s="16" t="s">
        <v>63</v>
      </c>
      <c r="B26" s="16" t="s">
        <v>64</v>
      </c>
      <c r="C26" s="16" t="s">
        <v>65</v>
      </c>
      <c r="D26" s="16" t="s">
        <v>66</v>
      </c>
      <c r="E26" s="16" t="s">
        <v>67</v>
      </c>
      <c r="F26" s="16" t="s">
        <v>68</v>
      </c>
      <c r="G26" s="16" t="s">
        <v>69</v>
      </c>
      <c r="H26" s="16" t="s">
        <v>70</v>
      </c>
      <c r="I26" s="16" t="s">
        <v>71</v>
      </c>
      <c r="J26" s="16" t="s">
        <v>72</v>
      </c>
      <c r="K26" s="16" t="s">
        <v>73</v>
      </c>
      <c r="L26" s="16" t="s">
        <v>74</v>
      </c>
    </row>
    <row r="27" spans="1:13" x14ac:dyDescent="0.3">
      <c r="A27" s="17">
        <v>0.3</v>
      </c>
      <c r="B27" s="11">
        <f>INPUTS!$C$22*(1+$A27)</f>
        <v>18.2</v>
      </c>
      <c r="C27" s="11">
        <f>B27-INPUTS!$C$22</f>
        <v>4.1999999999999993</v>
      </c>
      <c r="D27" s="17">
        <f>C27/B27</f>
        <v>0.23076923076923073</v>
      </c>
      <c r="E27" s="18">
        <f>B27*INPUTS!$C$28</f>
        <v>19328.399999999998</v>
      </c>
      <c r="F27" s="19">
        <f>E27/INPUTS!$C$5</f>
        <v>5154.24</v>
      </c>
      <c r="G27" s="11">
        <f>INPUTS!$C$31-B27</f>
        <v>16.8</v>
      </c>
      <c r="H27" s="17">
        <f>G27/INPUTS!$C$31</f>
        <v>0.48000000000000004</v>
      </c>
      <c r="I27" s="17">
        <f>G27/B27</f>
        <v>0.92307692307692313</v>
      </c>
      <c r="J27" s="18">
        <f>G27*INPUTS!$C$28</f>
        <v>17841.600000000002</v>
      </c>
      <c r="K27" s="18">
        <f>C27*INPUTS!$C$28</f>
        <v>4460.3999999999996</v>
      </c>
      <c r="L27" s="18">
        <f>K27*INPUTS!$C$27</f>
        <v>44604</v>
      </c>
      <c r="M27" s="2" t="s">
        <v>86</v>
      </c>
    </row>
    <row r="28" spans="1:13" x14ac:dyDescent="0.3">
      <c r="A28" s="17">
        <v>0.35</v>
      </c>
      <c r="B28" s="11">
        <f>INPUTS!$C$22*(1+$A28)</f>
        <v>18.900000000000002</v>
      </c>
      <c r="C28" s="11">
        <f>B28-INPUTS!$C$22</f>
        <v>4.9000000000000021</v>
      </c>
      <c r="D28" s="17">
        <f>C28/B28</f>
        <v>0.25925925925925936</v>
      </c>
      <c r="E28" s="18">
        <f>B28*INPUTS!$C$28</f>
        <v>20071.800000000003</v>
      </c>
      <c r="F28" s="19">
        <f>E28/INPUTS!$C$5</f>
        <v>5352.4800000000005</v>
      </c>
      <c r="G28" s="11">
        <f>INPUTS!$C$31-B28</f>
        <v>16.099999999999998</v>
      </c>
      <c r="H28" s="17">
        <f>G28/INPUTS!$C$31</f>
        <v>0.45999999999999996</v>
      </c>
      <c r="I28" s="17">
        <f>G28/B28</f>
        <v>0.85185185185185164</v>
      </c>
      <c r="J28" s="18">
        <f>G28*INPUTS!$C$28</f>
        <v>17098.199999999997</v>
      </c>
      <c r="K28" s="18">
        <f>C28*INPUTS!$C$28</f>
        <v>5203.800000000002</v>
      </c>
      <c r="L28" s="18">
        <f>K28*INPUTS!$C$27</f>
        <v>52038.000000000022</v>
      </c>
    </row>
    <row r="29" spans="1:13" x14ac:dyDescent="0.3">
      <c r="A29" s="17">
        <v>0.4</v>
      </c>
      <c r="B29" s="11">
        <f>INPUTS!$C$22*(1+$A29)</f>
        <v>19.599999999999998</v>
      </c>
      <c r="C29" s="11">
        <f>B29-INPUTS!$C$22</f>
        <v>5.5999999999999979</v>
      </c>
      <c r="D29" s="17">
        <f>C29/B29</f>
        <v>0.28571428571428564</v>
      </c>
      <c r="E29" s="18">
        <f>B29*INPUTS!$C$28</f>
        <v>20815.199999999997</v>
      </c>
      <c r="F29" s="19">
        <f>E29/INPUTS!$C$5</f>
        <v>5550.7199999999993</v>
      </c>
      <c r="G29" s="11">
        <f>INPUTS!$C$31-B29</f>
        <v>15.400000000000002</v>
      </c>
      <c r="H29" s="17">
        <f>G29/INPUTS!$C$31</f>
        <v>0.44000000000000006</v>
      </c>
      <c r="I29" s="17">
        <f>G29/B29</f>
        <v>0.78571428571428592</v>
      </c>
      <c r="J29" s="18">
        <f>G29*INPUTS!$C$28</f>
        <v>16354.800000000003</v>
      </c>
      <c r="K29" s="18">
        <f>C29*INPUTS!$C$28</f>
        <v>5947.199999999998</v>
      </c>
      <c r="L29" s="18">
        <f>K29*INPUTS!$C$27</f>
        <v>59471.999999999978</v>
      </c>
    </row>
    <row r="30" spans="1:13" x14ac:dyDescent="0.3">
      <c r="A30" s="17">
        <v>0.45</v>
      </c>
      <c r="B30" s="11">
        <f>INPUTS!$C$22*(1+$A30)</f>
        <v>20.3</v>
      </c>
      <c r="C30" s="11">
        <f>B30-INPUTS!$C$22</f>
        <v>6.3000000000000007</v>
      </c>
      <c r="D30" s="17">
        <f>C30/B30</f>
        <v>0.31034482758620691</v>
      </c>
      <c r="E30" s="18">
        <f>B30*INPUTS!$C$28</f>
        <v>21558.600000000002</v>
      </c>
      <c r="F30" s="19">
        <f>E30/INPUTS!$C$5</f>
        <v>5748.9600000000009</v>
      </c>
      <c r="G30" s="11">
        <f>INPUTS!$C$31-B30</f>
        <v>14.7</v>
      </c>
      <c r="H30" s="17">
        <f>G30/INPUTS!$C$31</f>
        <v>0.42</v>
      </c>
      <c r="I30" s="17">
        <f>G30/B30</f>
        <v>0.72413793103448265</v>
      </c>
      <c r="J30" s="18">
        <f>G30*INPUTS!$C$28</f>
        <v>15611.4</v>
      </c>
      <c r="K30" s="18">
        <f>C30*INPUTS!$C$28</f>
        <v>6690.6</v>
      </c>
      <c r="L30" s="18">
        <f>K30*INPUTS!$C$27</f>
        <v>66906</v>
      </c>
    </row>
    <row r="31" spans="1:13" x14ac:dyDescent="0.3">
      <c r="A31" s="17">
        <v>0.5</v>
      </c>
      <c r="B31" s="11">
        <f>INPUTS!$C$22*(1+$A31)</f>
        <v>21</v>
      </c>
      <c r="C31" s="11">
        <f>B31-INPUTS!$C$22</f>
        <v>7</v>
      </c>
      <c r="D31" s="17">
        <f>C31/B31</f>
        <v>0.33333333333333331</v>
      </c>
      <c r="E31" s="18">
        <f>B31*INPUTS!$C$28</f>
        <v>22302</v>
      </c>
      <c r="F31" s="19">
        <f>E31/INPUTS!$C$5</f>
        <v>5947.2</v>
      </c>
      <c r="G31" s="11">
        <f>INPUTS!$C$31-B31</f>
        <v>14</v>
      </c>
      <c r="H31" s="17">
        <f>G31/INPUTS!$C$31</f>
        <v>0.4</v>
      </c>
      <c r="I31" s="17">
        <f>G31/B31</f>
        <v>0.66666666666666663</v>
      </c>
      <c r="J31" s="18">
        <f>G31*INPUTS!$C$28</f>
        <v>14868</v>
      </c>
      <c r="K31" s="18">
        <f>C31*INPUTS!$C$28</f>
        <v>7434</v>
      </c>
      <c r="L31" s="18">
        <f>K31*INPUTS!$C$27</f>
        <v>74340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baseColWidth="10" defaultColWidth="8.88671875" defaultRowHeight="14.4" x14ac:dyDescent="0.3"/>
  <cols>
    <col min="1" max="1" width="42" customWidth="1"/>
    <col min="2" max="4" width="14" customWidth="1"/>
  </cols>
  <sheetData>
    <row r="1" spans="1:4" ht="18" x14ac:dyDescent="0.35">
      <c r="A1" s="1" t="s">
        <v>87</v>
      </c>
    </row>
    <row r="2" spans="1:4" x14ac:dyDescent="0.3">
      <c r="A2" s="15" t="s">
        <v>88</v>
      </c>
    </row>
    <row r="4" spans="1:4" x14ac:dyDescent="0.3">
      <c r="A4" s="6" t="s">
        <v>89</v>
      </c>
      <c r="B4" s="7"/>
      <c r="C4" s="7"/>
      <c r="D4" s="7"/>
    </row>
    <row r="5" spans="1:4" x14ac:dyDescent="0.3">
      <c r="A5" t="s">
        <v>90</v>
      </c>
      <c r="C5" s="8">
        <v>76.400000000000006</v>
      </c>
    </row>
    <row r="6" spans="1:4" x14ac:dyDescent="0.3">
      <c r="A6" t="s">
        <v>91</v>
      </c>
      <c r="C6" s="9">
        <v>0.92</v>
      </c>
      <c r="D6" s="2" t="s">
        <v>92</v>
      </c>
    </row>
    <row r="7" spans="1:4" x14ac:dyDescent="0.3">
      <c r="A7" t="s">
        <v>93</v>
      </c>
      <c r="C7" s="21">
        <f>C5*C6</f>
        <v>70.288000000000011</v>
      </c>
    </row>
    <row r="8" spans="1:4" x14ac:dyDescent="0.3">
      <c r="A8" t="s">
        <v>94</v>
      </c>
      <c r="C8" s="21">
        <f>C7/INPUTS!$C$14</f>
        <v>7.0288000000000013</v>
      </c>
    </row>
    <row r="9" spans="1:4" x14ac:dyDescent="0.3">
      <c r="A9" t="s">
        <v>95</v>
      </c>
      <c r="C9" s="12">
        <v>66</v>
      </c>
      <c r="D9" s="2" t="s">
        <v>96</v>
      </c>
    </row>
    <row r="10" spans="1:4" x14ac:dyDescent="0.3">
      <c r="A10" t="s">
        <v>97</v>
      </c>
      <c r="C10" s="21">
        <f>C9*INPUTS!$C$18</f>
        <v>5.1282000000000005</v>
      </c>
    </row>
    <row r="11" spans="1:4" x14ac:dyDescent="0.3">
      <c r="A11" t="s">
        <v>98</v>
      </c>
      <c r="C11" s="13">
        <f>FLOOR((C8-C10)/INPUTS!$C$29,1)</f>
        <v>32</v>
      </c>
    </row>
    <row r="12" spans="1:4" x14ac:dyDescent="0.3">
      <c r="A12" t="s">
        <v>99</v>
      </c>
      <c r="C12" s="21">
        <f>C10+C11*INPUTS!$C$29</f>
        <v>7.0162000000000004</v>
      </c>
    </row>
    <row r="13" spans="1:4" x14ac:dyDescent="0.3">
      <c r="A13" t="s">
        <v>100</v>
      </c>
      <c r="C13" s="21">
        <f>C8-C12</f>
        <v>1.2600000000000833E-2</v>
      </c>
    </row>
    <row r="14" spans="1:4" x14ac:dyDescent="0.3">
      <c r="A14" t="s">
        <v>101</v>
      </c>
      <c r="C14" s="13">
        <f>C9*INPUTS!$C$19+C11*INPUTS!$C$30</f>
        <v>950.59999999999991</v>
      </c>
    </row>
    <row r="15" spans="1:4" x14ac:dyDescent="0.3">
      <c r="A15" t="s">
        <v>102</v>
      </c>
      <c r="C15" s="22" t="str">
        <f>"10 cupos · "&amp;C9*10&amp;" cajas higiénico + "&amp;C11*10&amp;" cajas facial"</f>
        <v>10 cupos · 660 cajas higiénico + 320 cajas facial</v>
      </c>
    </row>
    <row r="17" spans="1:4" x14ac:dyDescent="0.3">
      <c r="A17" s="6" t="s">
        <v>103</v>
      </c>
      <c r="B17" s="7"/>
      <c r="C17" s="7"/>
      <c r="D17" s="7"/>
    </row>
    <row r="18" spans="1:4" x14ac:dyDescent="0.3">
      <c r="A18" s="23" t="s">
        <v>104</v>
      </c>
      <c r="B18" s="23" t="s">
        <v>105</v>
      </c>
      <c r="C18" s="23" t="s">
        <v>106</v>
      </c>
      <c r="D18" s="23" t="s">
        <v>107</v>
      </c>
    </row>
    <row r="19" spans="1:4" x14ac:dyDescent="0.3">
      <c r="A19" t="s">
        <v>38</v>
      </c>
      <c r="B19" s="13">
        <f>C9</f>
        <v>66</v>
      </c>
      <c r="C19" s="13">
        <f>C11</f>
        <v>32</v>
      </c>
      <c r="D19" s="13">
        <f>B19+C19</f>
        <v>98</v>
      </c>
    </row>
    <row r="20" spans="1:4" x14ac:dyDescent="0.3">
      <c r="A20" t="s">
        <v>40</v>
      </c>
      <c r="B20" s="13">
        <f>B19*INPUTS!$C$12</f>
        <v>396</v>
      </c>
      <c r="C20" s="13">
        <f>C19*INPUTS!$C$25</f>
        <v>288</v>
      </c>
      <c r="D20" s="13">
        <f>B20+C20</f>
        <v>684</v>
      </c>
    </row>
    <row r="21" spans="1:4" x14ac:dyDescent="0.3">
      <c r="A21" t="s">
        <v>64</v>
      </c>
      <c r="B21" s="11">
        <f>INPUTS!$C$9*(1+INPUTS!$C$33)</f>
        <v>22.4</v>
      </c>
      <c r="C21" s="11">
        <f>INPUTS!$C$22*(1+INPUTS!$C$33)</f>
        <v>19.599999999999998</v>
      </c>
    </row>
    <row r="22" spans="1:4" x14ac:dyDescent="0.3">
      <c r="A22" t="s">
        <v>108</v>
      </c>
      <c r="B22" s="18">
        <f>B20*B21</f>
        <v>8870.4</v>
      </c>
      <c r="C22" s="18">
        <f>C20*C21</f>
        <v>5644.7999999999993</v>
      </c>
      <c r="D22" s="18">
        <f>B22+C22</f>
        <v>14515.199999999999</v>
      </c>
    </row>
    <row r="23" spans="1:4" x14ac:dyDescent="0.3">
      <c r="A23" t="s">
        <v>109</v>
      </c>
      <c r="B23" s="18">
        <f>B20*INPUTS!$C$9</f>
        <v>6336</v>
      </c>
      <c r="C23" s="18">
        <f>C20*INPUTS!$C$22</f>
        <v>4032</v>
      </c>
      <c r="D23" s="18">
        <f>B23+C23</f>
        <v>10368</v>
      </c>
    </row>
    <row r="24" spans="1:4" x14ac:dyDescent="0.3">
      <c r="A24" t="s">
        <v>73</v>
      </c>
      <c r="B24" s="18">
        <f>B22-B23</f>
        <v>2534.3999999999996</v>
      </c>
      <c r="C24" s="18">
        <f>C22-C23</f>
        <v>1612.7999999999993</v>
      </c>
      <c r="D24" s="18">
        <f>B24+C24</f>
        <v>4147.1999999999989</v>
      </c>
    </row>
    <row r="25" spans="1:4" x14ac:dyDescent="0.3">
      <c r="A25" t="s">
        <v>69</v>
      </c>
      <c r="B25" s="11">
        <f>INPUTS!$C$10-B21</f>
        <v>7.6000000000000014</v>
      </c>
      <c r="C25" s="11">
        <f>INPUTS!$C$23-C21</f>
        <v>5.4000000000000021</v>
      </c>
    </row>
    <row r="26" spans="1:4" x14ac:dyDescent="0.3">
      <c r="A26" t="s">
        <v>110</v>
      </c>
      <c r="B26" s="17">
        <f>B25/INPUTS!$C$10</f>
        <v>0.25333333333333335</v>
      </c>
      <c r="C26" s="17">
        <f>C25/INPUTS!$C$23</f>
        <v>0.21600000000000008</v>
      </c>
    </row>
    <row r="27" spans="1:4" x14ac:dyDescent="0.3">
      <c r="A27" t="s">
        <v>111</v>
      </c>
      <c r="C27" s="17">
        <f>(INPUTS!$C$31-C21)/INPUTS!$C$31</f>
        <v>0.44000000000000006</v>
      </c>
    </row>
    <row r="29" spans="1:4" x14ac:dyDescent="0.3">
      <c r="A29" s="6" t="s">
        <v>112</v>
      </c>
      <c r="B29" s="7"/>
      <c r="C29" s="7"/>
      <c r="D29" s="7"/>
    </row>
    <row r="30" spans="1:4" x14ac:dyDescent="0.3">
      <c r="A30" t="s">
        <v>113</v>
      </c>
      <c r="C30" s="18">
        <f>D22*10</f>
        <v>145152</v>
      </c>
    </row>
    <row r="31" spans="1:4" x14ac:dyDescent="0.3">
      <c r="A31" t="s">
        <v>114</v>
      </c>
      <c r="C31" s="18">
        <f>D23*10</f>
        <v>103680</v>
      </c>
    </row>
    <row r="32" spans="1:4" x14ac:dyDescent="0.3">
      <c r="A32" t="s">
        <v>115</v>
      </c>
      <c r="C32" s="18">
        <f>C30-C31</f>
        <v>41472</v>
      </c>
    </row>
    <row r="33" spans="1:3" x14ac:dyDescent="0.3">
      <c r="A33" t="s">
        <v>116</v>
      </c>
      <c r="C33" s="17">
        <f>C32/C30</f>
        <v>0.2857142857142857</v>
      </c>
    </row>
    <row r="34" spans="1:3" x14ac:dyDescent="0.3">
      <c r="A34" t="s">
        <v>117</v>
      </c>
      <c r="C34" s="19">
        <f>C32/INPUTS!$C$5</f>
        <v>11059.2</v>
      </c>
    </row>
    <row r="36" spans="1:3" x14ac:dyDescent="0.3">
      <c r="A36" s="2" t="s">
        <v>118</v>
      </c>
    </row>
    <row r="37" spans="1:3" x14ac:dyDescent="0.3">
      <c r="A37" s="2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/>
  </sheetViews>
  <sheetFormatPr baseColWidth="10" defaultColWidth="8.88671875" defaultRowHeight="14.4" x14ac:dyDescent="0.3"/>
  <cols>
    <col min="1" max="1" width="18" customWidth="1"/>
    <col min="2" max="4" width="14" customWidth="1"/>
    <col min="5" max="5" width="16.21875" customWidth="1"/>
    <col min="6" max="7" width="14" customWidth="1"/>
    <col min="8" max="8" width="16.44140625" customWidth="1"/>
    <col min="9" max="11" width="14" customWidth="1"/>
  </cols>
  <sheetData>
    <row r="1" spans="1:11" ht="18" x14ac:dyDescent="0.35">
      <c r="A1" s="1" t="s">
        <v>120</v>
      </c>
    </row>
    <row r="3" spans="1:11" x14ac:dyDescent="0.3">
      <c r="A3" t="s">
        <v>121</v>
      </c>
      <c r="B3" s="24">
        <f>INPUTS!$C$9*(1+INPUTS!$C$33)</f>
        <v>22.4</v>
      </c>
    </row>
    <row r="4" spans="1:11" x14ac:dyDescent="0.3">
      <c r="A4" t="s">
        <v>122</v>
      </c>
      <c r="B4" s="25">
        <f>B3*INPUTS!$C$15</f>
        <v>12633.599999999999</v>
      </c>
    </row>
    <row r="6" spans="1:11" ht="41.4" x14ac:dyDescent="0.3">
      <c r="A6" s="16" t="s">
        <v>123</v>
      </c>
      <c r="B6" s="16" t="s">
        <v>124</v>
      </c>
      <c r="C6" s="16" t="s">
        <v>125</v>
      </c>
      <c r="D6" s="16" t="s">
        <v>126</v>
      </c>
      <c r="E6" s="16" t="s">
        <v>67</v>
      </c>
      <c r="F6" s="16" t="s">
        <v>127</v>
      </c>
      <c r="G6" s="16" t="s">
        <v>128</v>
      </c>
      <c r="H6" s="16" t="s">
        <v>65</v>
      </c>
      <c r="I6" s="16" t="s">
        <v>129</v>
      </c>
      <c r="J6" s="16" t="s">
        <v>69</v>
      </c>
      <c r="K6" s="16" t="s">
        <v>70</v>
      </c>
    </row>
    <row r="7" spans="1:11" x14ac:dyDescent="0.3">
      <c r="A7" s="26" t="s">
        <v>130</v>
      </c>
      <c r="B7" s="27">
        <v>1</v>
      </c>
      <c r="C7" s="17" t="s">
        <v>131</v>
      </c>
      <c r="D7" s="11">
        <f>$B$3*(1-C7)</f>
        <v>22.4</v>
      </c>
      <c r="E7" s="18">
        <f>D7*INPUTS!$C$15</f>
        <v>12633.599999999999</v>
      </c>
      <c r="F7" s="18">
        <f>E7*B7</f>
        <v>12633.599999999999</v>
      </c>
      <c r="G7" s="19">
        <f>F7/INPUTS!$C$5</f>
        <v>3368.9599999999996</v>
      </c>
      <c r="H7" s="11">
        <f>D7-INPUTS!$C$9</f>
        <v>6.3999999999999986</v>
      </c>
      <c r="I7" s="17">
        <f>H7/INPUTS!$C$9</f>
        <v>0.39999999999999991</v>
      </c>
      <c r="J7" s="11">
        <f>INPUTS!$C$10-D7</f>
        <v>7.6000000000000014</v>
      </c>
      <c r="K7" s="17">
        <f>J7/INPUTS!$C$10</f>
        <v>0.25333333333333335</v>
      </c>
    </row>
    <row r="8" spans="1:11" x14ac:dyDescent="0.3">
      <c r="A8" s="26" t="s">
        <v>132</v>
      </c>
      <c r="B8" s="27">
        <v>3</v>
      </c>
      <c r="C8" s="17">
        <f>INPUTS!$C$34</f>
        <v>0.03</v>
      </c>
      <c r="D8" s="11">
        <f>$B$3*(1-C8)</f>
        <v>21.727999999999998</v>
      </c>
      <c r="E8" s="18">
        <f>D8*INPUTS!$C$15</f>
        <v>12254.591999999999</v>
      </c>
      <c r="F8" s="18">
        <f>E8*B8</f>
        <v>36763.775999999998</v>
      </c>
      <c r="G8" s="19">
        <f>F8/INPUTS!$C$5</f>
        <v>9803.6736000000001</v>
      </c>
      <c r="H8" s="11">
        <f>D8-INPUTS!$C$9</f>
        <v>5.727999999999998</v>
      </c>
      <c r="I8" s="17">
        <f>H8/INPUTS!$C$9</f>
        <v>0.35799999999999987</v>
      </c>
      <c r="J8" s="11">
        <f>INPUTS!$C$10-D8</f>
        <v>8.272000000000002</v>
      </c>
      <c r="K8" s="17">
        <f>J8/INPUTS!$C$10</f>
        <v>0.27573333333333339</v>
      </c>
    </row>
    <row r="9" spans="1:11" x14ac:dyDescent="0.3">
      <c r="A9" s="26" t="s">
        <v>133</v>
      </c>
      <c r="B9" s="27">
        <v>5</v>
      </c>
      <c r="C9" s="17">
        <f>INPUTS!$C$35</f>
        <v>0.06</v>
      </c>
      <c r="D9" s="11">
        <f>$B$3*(1-C9)</f>
        <v>21.055999999999997</v>
      </c>
      <c r="E9" s="18">
        <f>D9*INPUTS!$C$15</f>
        <v>11875.583999999999</v>
      </c>
      <c r="F9" s="18">
        <f>E9*B9</f>
        <v>59377.919999999998</v>
      </c>
      <c r="G9" s="19">
        <f>F9/INPUTS!$C$5</f>
        <v>15834.111999999999</v>
      </c>
      <c r="H9" s="11">
        <f>D9-INPUTS!$C$9</f>
        <v>5.0559999999999974</v>
      </c>
      <c r="I9" s="17">
        <f>H9/INPUTS!$C$9</f>
        <v>0.31599999999999984</v>
      </c>
      <c r="J9" s="11">
        <f>INPUTS!$C$10-D9</f>
        <v>8.9440000000000026</v>
      </c>
      <c r="K9" s="17">
        <f>J9/INPUTS!$C$10</f>
        <v>0.29813333333333342</v>
      </c>
    </row>
    <row r="10" spans="1:11" x14ac:dyDescent="0.3">
      <c r="A10" s="26" t="s">
        <v>134</v>
      </c>
      <c r="B10" s="27">
        <v>10</v>
      </c>
      <c r="C10" s="17">
        <f>INPUTS!$C$36</f>
        <v>0.08</v>
      </c>
      <c r="D10" s="11">
        <f>$B$3*(1-C10)</f>
        <v>20.608000000000001</v>
      </c>
      <c r="E10" s="18">
        <f>D10*INPUTS!$C$15</f>
        <v>11622.912</v>
      </c>
      <c r="F10" s="18">
        <f>E10*B10</f>
        <v>116229.12</v>
      </c>
      <c r="G10" s="19">
        <f>F10/INPUTS!$C$5</f>
        <v>30994.431999999997</v>
      </c>
      <c r="H10" s="11">
        <f>D10-INPUTS!$C$9</f>
        <v>4.6080000000000005</v>
      </c>
      <c r="I10" s="17">
        <f>H10/INPUTS!$C$9</f>
        <v>0.28800000000000003</v>
      </c>
      <c r="J10" s="11">
        <f>INPUTS!$C$10-D10</f>
        <v>9.3919999999999995</v>
      </c>
      <c r="K10" s="17">
        <f>J10/INPUTS!$C$10</f>
        <v>0.31306666666666666</v>
      </c>
    </row>
    <row r="12" spans="1:11" x14ac:dyDescent="0.3">
      <c r="A12" t="s">
        <v>135</v>
      </c>
      <c r="B12" s="24">
        <f>INPUTS!$C$37*$B$4</f>
        <v>252.67199999999997</v>
      </c>
    </row>
    <row r="14" spans="1:11" x14ac:dyDescent="0.3">
      <c r="A14" s="2" t="s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tabSelected="1" workbookViewId="0"/>
  </sheetViews>
  <sheetFormatPr baseColWidth="10" defaultColWidth="8.88671875" defaultRowHeight="14.4" x14ac:dyDescent="0.3"/>
  <cols>
    <col min="1" max="1" width="14" customWidth="1"/>
    <col min="2" max="2" width="10" customWidth="1"/>
    <col min="3" max="3" width="20" customWidth="1"/>
    <col min="4" max="4" width="16" customWidth="1"/>
    <col min="5" max="5" width="15" customWidth="1"/>
    <col min="6" max="6" width="16" customWidth="1"/>
    <col min="7" max="7" width="17" customWidth="1"/>
  </cols>
  <sheetData>
    <row r="1" spans="1:7" ht="18" x14ac:dyDescent="0.35">
      <c r="A1" s="1" t="s">
        <v>137</v>
      </c>
    </row>
    <row r="2" spans="1:7" x14ac:dyDescent="0.3">
      <c r="A2" s="15" t="s">
        <v>138</v>
      </c>
    </row>
    <row r="4" spans="1:7" x14ac:dyDescent="0.3">
      <c r="A4" t="s">
        <v>139</v>
      </c>
      <c r="B4" s="28">
        <f>INPUTS!$C$13*INPUTS!$C$18</f>
        <v>7.3038000000000007</v>
      </c>
    </row>
    <row r="5" spans="1:7" x14ac:dyDescent="0.3">
      <c r="A5" t="s">
        <v>101</v>
      </c>
      <c r="B5" s="29">
        <f>INPUTS!$C$13*INPUTS!$C$19</f>
        <v>911.8</v>
      </c>
    </row>
    <row r="6" spans="1:7" x14ac:dyDescent="0.3">
      <c r="A6" s="2" t="s">
        <v>140</v>
      </c>
    </row>
    <row r="8" spans="1:7" ht="27.6" x14ac:dyDescent="0.3">
      <c r="A8" s="16" t="s">
        <v>141</v>
      </c>
      <c r="B8" s="16" t="s">
        <v>142</v>
      </c>
      <c r="C8" s="16" t="s">
        <v>143</v>
      </c>
      <c r="D8" s="16" t="s">
        <v>144</v>
      </c>
      <c r="E8" s="16" t="s">
        <v>145</v>
      </c>
      <c r="F8" s="16" t="s">
        <v>146</v>
      </c>
      <c r="G8" s="16" t="s">
        <v>147</v>
      </c>
    </row>
    <row r="9" spans="1:7" x14ac:dyDescent="0.3">
      <c r="A9" s="27" t="s">
        <v>148</v>
      </c>
      <c r="B9" s="13">
        <v>160</v>
      </c>
      <c r="C9" s="30">
        <v>35</v>
      </c>
      <c r="D9" s="18">
        <f t="shared" ref="D9:D16" si="0">$B$4*C9</f>
        <v>255.63300000000004</v>
      </c>
      <c r="E9" s="11">
        <f>D9/INPUTS!$C$15</f>
        <v>0.45325000000000004</v>
      </c>
      <c r="F9" s="17">
        <f>E9/INPUTS!$C$10</f>
        <v>1.5108333333333335E-2</v>
      </c>
      <c r="G9" s="18">
        <f>ESCALERA!$B$4+D9</f>
        <v>12889.232999999998</v>
      </c>
    </row>
    <row r="10" spans="1:7" x14ac:dyDescent="0.3">
      <c r="A10" s="27" t="s">
        <v>149</v>
      </c>
      <c r="B10" s="13">
        <v>370</v>
      </c>
      <c r="C10" s="30">
        <v>45</v>
      </c>
      <c r="D10" s="18">
        <f t="shared" si="0"/>
        <v>328.67100000000005</v>
      </c>
      <c r="E10" s="11">
        <f>D10/INPUTS!$C$15</f>
        <v>0.5827500000000001</v>
      </c>
      <c r="F10" s="17">
        <f>E10/INPUTS!$C$10</f>
        <v>1.9425000000000005E-2</v>
      </c>
      <c r="G10" s="18">
        <f>ESCALERA!$B$4+D10</f>
        <v>12962.270999999999</v>
      </c>
    </row>
    <row r="11" spans="1:7" x14ac:dyDescent="0.3">
      <c r="A11" s="27" t="s">
        <v>150</v>
      </c>
      <c r="B11" s="13">
        <v>380</v>
      </c>
      <c r="C11" s="30">
        <v>50</v>
      </c>
      <c r="D11" s="18">
        <f t="shared" si="0"/>
        <v>365.19000000000005</v>
      </c>
      <c r="E11" s="11">
        <f>D11/INPUTS!$C$15</f>
        <v>0.64750000000000008</v>
      </c>
      <c r="F11" s="17">
        <f>E11/INPUTS!$C$10</f>
        <v>2.1583333333333336E-2</v>
      </c>
      <c r="G11" s="18">
        <f>ESCALERA!$B$4+D11</f>
        <v>12998.789999999999</v>
      </c>
    </row>
    <row r="12" spans="1:7" x14ac:dyDescent="0.3">
      <c r="A12" s="27" t="s">
        <v>151</v>
      </c>
      <c r="B12" s="13">
        <v>400</v>
      </c>
      <c r="C12" s="30">
        <v>52</v>
      </c>
      <c r="D12" s="18">
        <f t="shared" si="0"/>
        <v>379.79760000000005</v>
      </c>
      <c r="E12" s="11">
        <f>D12/INPUTS!$C$15</f>
        <v>0.67340000000000011</v>
      </c>
      <c r="F12" s="17">
        <f>E12/INPUTS!$C$10</f>
        <v>2.244666666666667E-2</v>
      </c>
      <c r="G12" s="18">
        <f>ESCALERA!$B$4+D12</f>
        <v>13013.397599999998</v>
      </c>
    </row>
    <row r="13" spans="1:7" x14ac:dyDescent="0.3">
      <c r="A13" s="27" t="s">
        <v>152</v>
      </c>
      <c r="B13" s="13">
        <v>790</v>
      </c>
      <c r="C13" s="30">
        <v>65</v>
      </c>
      <c r="D13" s="18">
        <f t="shared" si="0"/>
        <v>474.74700000000007</v>
      </c>
      <c r="E13" s="11">
        <f>D13/INPUTS!$C$15</f>
        <v>0.84175000000000011</v>
      </c>
      <c r="F13" s="17">
        <f>E13/INPUTS!$C$10</f>
        <v>2.8058333333333338E-2</v>
      </c>
      <c r="G13" s="18">
        <f>ESCALERA!$B$4+D13</f>
        <v>13108.346999999998</v>
      </c>
    </row>
    <row r="14" spans="1:7" x14ac:dyDescent="0.3">
      <c r="A14" s="27" t="s">
        <v>153</v>
      </c>
      <c r="B14" s="13">
        <v>1290</v>
      </c>
      <c r="C14" s="30">
        <v>85</v>
      </c>
      <c r="D14" s="18">
        <f t="shared" si="0"/>
        <v>620.82300000000009</v>
      </c>
      <c r="E14" s="11">
        <f>D14/INPUTS!$C$15</f>
        <v>1.1007500000000001</v>
      </c>
      <c r="F14" s="17">
        <f>E14/INPUTS!$C$10</f>
        <v>3.6691666666666671E-2</v>
      </c>
      <c r="G14" s="18">
        <f>ESCALERA!$B$4+D14</f>
        <v>13254.422999999999</v>
      </c>
    </row>
    <row r="15" spans="1:7" x14ac:dyDescent="0.3">
      <c r="A15" s="27" t="s">
        <v>154</v>
      </c>
      <c r="B15" s="13">
        <v>1850</v>
      </c>
      <c r="C15" s="30">
        <v>105</v>
      </c>
      <c r="D15" s="18">
        <f t="shared" si="0"/>
        <v>766.89900000000011</v>
      </c>
      <c r="E15" s="11">
        <f>D15/INPUTS!$C$15</f>
        <v>1.3597500000000002</v>
      </c>
      <c r="F15" s="17">
        <f>E15/INPUTS!$C$10</f>
        <v>4.5325000000000011E-2</v>
      </c>
      <c r="G15" s="18">
        <f>ESCALERA!$B$4+D15</f>
        <v>13400.498999999998</v>
      </c>
    </row>
    <row r="16" spans="1:7" x14ac:dyDescent="0.3">
      <c r="A16" s="27" t="s">
        <v>155</v>
      </c>
      <c r="B16" s="13">
        <v>2270</v>
      </c>
      <c r="C16" s="30">
        <v>120</v>
      </c>
      <c r="D16" s="18">
        <f t="shared" si="0"/>
        <v>876.45600000000013</v>
      </c>
      <c r="E16" s="11">
        <f>D16/INPUTS!$C$15</f>
        <v>1.5540000000000003</v>
      </c>
      <c r="F16" s="17">
        <f>E16/INPUTS!$C$10</f>
        <v>5.1800000000000006E-2</v>
      </c>
      <c r="G16" s="18">
        <f>ESCALERA!$B$4+D16</f>
        <v>13510.055999999999</v>
      </c>
    </row>
    <row r="18" spans="1:1" x14ac:dyDescent="0.3">
      <c r="A18" s="31" t="s">
        <v>156</v>
      </c>
    </row>
    <row r="19" spans="1:1" x14ac:dyDescent="0.3">
      <c r="A19" s="32" t="s">
        <v>157</v>
      </c>
    </row>
    <row r="20" spans="1:1" x14ac:dyDescent="0.3">
      <c r="A20" s="32" t="s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/>
  </sheetViews>
  <sheetFormatPr baseColWidth="10" defaultColWidth="8.88671875" defaultRowHeight="14.4" x14ac:dyDescent="0.3"/>
  <cols>
    <col min="1" max="1" width="34" customWidth="1"/>
    <col min="2" max="3" width="16" customWidth="1"/>
    <col min="4" max="4" width="13" customWidth="1"/>
  </cols>
  <sheetData>
    <row r="1" spans="1:4" ht="18" x14ac:dyDescent="0.35">
      <c r="A1" s="1" t="s">
        <v>159</v>
      </c>
    </row>
    <row r="3" spans="1:4" x14ac:dyDescent="0.3">
      <c r="A3" t="s">
        <v>160</v>
      </c>
      <c r="B3" s="25">
        <f>(INPUTS!$C$16+INPUTS!$C$17)*INPUTS!$C$12*INPUTS!$C$9</f>
        <v>90720</v>
      </c>
    </row>
    <row r="4" spans="1:4" x14ac:dyDescent="0.3">
      <c r="A4" t="s">
        <v>161</v>
      </c>
      <c r="B4" s="25">
        <f>ESCALERA!$B$4*INPUTS!$C$14</f>
        <v>126335.99999999999</v>
      </c>
    </row>
    <row r="5" spans="1:4" x14ac:dyDescent="0.3">
      <c r="A5" t="s">
        <v>115</v>
      </c>
      <c r="B5" s="25">
        <f>B4-B3</f>
        <v>35615.999999999985</v>
      </c>
    </row>
    <row r="6" spans="1:4" x14ac:dyDescent="0.3">
      <c r="A6" t="s">
        <v>116</v>
      </c>
      <c r="B6" s="33">
        <f>B5/B4</f>
        <v>0.28191489361702121</v>
      </c>
    </row>
    <row r="7" spans="1:4" x14ac:dyDescent="0.3">
      <c r="A7" t="s">
        <v>117</v>
      </c>
      <c r="B7" s="34">
        <f>B5/INPUTS!$C$5</f>
        <v>9497.5999999999967</v>
      </c>
    </row>
    <row r="9" spans="1:4" x14ac:dyDescent="0.3">
      <c r="A9" s="5" t="s">
        <v>162</v>
      </c>
    </row>
    <row r="10" spans="1:4" x14ac:dyDescent="0.3">
      <c r="A10" s="23" t="s">
        <v>163</v>
      </c>
      <c r="B10" s="23" t="s">
        <v>164</v>
      </c>
      <c r="C10" s="23" t="s">
        <v>115</v>
      </c>
      <c r="D10" s="23" t="s">
        <v>165</v>
      </c>
    </row>
    <row r="11" spans="1:4" x14ac:dyDescent="0.3">
      <c r="A11" s="27" t="s">
        <v>166</v>
      </c>
      <c r="B11" s="18">
        <f>ESCALERA!$E$7*10</f>
        <v>126335.99999999999</v>
      </c>
      <c r="C11" s="18">
        <f>B11-$B$3</f>
        <v>35615.999999999985</v>
      </c>
      <c r="D11" s="17">
        <f>C11/B11</f>
        <v>0.28191489361702121</v>
      </c>
    </row>
    <row r="12" spans="1:4" x14ac:dyDescent="0.3">
      <c r="A12" s="27" t="s">
        <v>167</v>
      </c>
      <c r="B12" s="18">
        <f>2*ESCALERA!$E$7+3*ESCALERA!$E$8+5*ESCALERA!$E$9</f>
        <v>121408.89599999999</v>
      </c>
      <c r="C12" s="18">
        <f>B12-$B$3</f>
        <v>30688.895999999993</v>
      </c>
      <c r="D12" s="17">
        <f>C12/B12</f>
        <v>0.25277304226537067</v>
      </c>
    </row>
    <row r="13" spans="1:4" x14ac:dyDescent="0.3">
      <c r="A13" s="27" t="s">
        <v>168</v>
      </c>
      <c r="B13" s="18">
        <f>ESCALERA!$F$10</f>
        <v>116229.12</v>
      </c>
      <c r="C13" s="18">
        <f>B13-$B$3</f>
        <v>25509.119999999995</v>
      </c>
      <c r="D13" s="17">
        <f>C13/B13</f>
        <v>0.21947271045328395</v>
      </c>
    </row>
    <row r="16" spans="1:4" x14ac:dyDescent="0.3">
      <c r="A16" s="5" t="s">
        <v>169</v>
      </c>
    </row>
    <row r="17" spans="1:4" x14ac:dyDescent="0.3">
      <c r="A17" s="23" t="s">
        <v>170</v>
      </c>
      <c r="B17" s="23" t="s">
        <v>171</v>
      </c>
      <c r="C17" s="23" t="s">
        <v>115</v>
      </c>
      <c r="D17" s="23" t="s">
        <v>165</v>
      </c>
    </row>
    <row r="18" spans="1:4" x14ac:dyDescent="0.3">
      <c r="A18" s="27" t="s">
        <v>172</v>
      </c>
      <c r="B18" s="18">
        <f>$B$3*0.9</f>
        <v>81648</v>
      </c>
      <c r="C18" s="18">
        <f>$B$11-B18</f>
        <v>44687.999999999985</v>
      </c>
      <c r="D18" s="17">
        <f>C18/$B$11</f>
        <v>0.35372340425531906</v>
      </c>
    </row>
    <row r="19" spans="1:4" x14ac:dyDescent="0.3">
      <c r="A19" s="27" t="s">
        <v>173</v>
      </c>
      <c r="B19" s="18">
        <f>$B$3*1</f>
        <v>90720</v>
      </c>
      <c r="C19" s="18">
        <f>$B$11-B19</f>
        <v>35615.999999999985</v>
      </c>
      <c r="D19" s="17">
        <f>C19/$B$11</f>
        <v>0.28191489361702121</v>
      </c>
    </row>
    <row r="20" spans="1:4" x14ac:dyDescent="0.3">
      <c r="A20" s="27" t="s">
        <v>174</v>
      </c>
      <c r="B20" s="18">
        <f>$B$3*1.1</f>
        <v>99792.000000000015</v>
      </c>
      <c r="C20" s="18">
        <f>$B$11-B20</f>
        <v>26543.999999999971</v>
      </c>
      <c r="D20" s="17">
        <f>C20/$B$11</f>
        <v>0.21010638297872319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INDEX</vt:lpstr>
      <vt:lpstr>INPUTS</vt:lpstr>
      <vt:lpstr>HIGIENICO</vt:lpstr>
      <vt:lpstr>FACIAL</vt:lpstr>
      <vt:lpstr>MIXTO</vt:lpstr>
      <vt:lpstr>ESCALERA</vt:lpstr>
      <vt:lpstr>FLETE</vt:lpstr>
      <vt:lpstr>CONTENEDOR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Muaaz</cp:lastModifiedBy>
  <dcterms:created xsi:type="dcterms:W3CDTF">2026-07-17T04:43:58Z</dcterms:created>
  <dcterms:modified xsi:type="dcterms:W3CDTF">2026-07-17T04:55:48Z</dcterms:modified>
</cp:coreProperties>
</file>